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drawings/drawing5.xml" ContentType="application/vnd.openxmlformats-officedocument.drawing+xml"/>
  <Override PartName="/xl/slicers/slicer3.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ganes\OneDrive\Documents\IMPORTANT\EXCEL\PRACTISE\"/>
    </mc:Choice>
  </mc:AlternateContent>
  <xr:revisionPtr revIDLastSave="0" documentId="13_ncr:1_{30326A67-CCD8-4E4A-B038-B90AB56F3F6E}" xr6:coauthVersionLast="47" xr6:coauthVersionMax="47" xr10:uidLastSave="{00000000-0000-0000-0000-000000000000}"/>
  <bookViews>
    <workbookView xWindow="-108" yWindow="-108" windowWidth="23256" windowHeight="12456" firstSheet="1" activeTab="7" xr2:uid="{E243BA8D-F0B7-41CF-85B4-7B7A4BE77CC0}"/>
  </bookViews>
  <sheets>
    <sheet name="Sales_Transactions" sheetId="2" r:id="rId1"/>
    <sheet name="Analysis 1" sheetId="3" r:id="rId2"/>
    <sheet name="Analysis 2" sheetId="4" r:id="rId3"/>
    <sheet name="Analysis 3" sheetId="6" r:id="rId4"/>
    <sheet name="Analysis 4" sheetId="8" r:id="rId5"/>
    <sheet name="Analysis 5" sheetId="11" r:id="rId6"/>
    <sheet name="Target vs Actual" sheetId="5" r:id="rId7"/>
    <sheet name="Dashboard" sheetId="7" r:id="rId8"/>
  </sheets>
  <definedNames>
    <definedName name="_xlcn.WorksheetConnection_PRACTISE1.xlsxSales_Transactions1" hidden="1">Sales_Transactions[]</definedName>
    <definedName name="_xlcn.WorksheetConnection_PRACTISE1.xlsxTable11" hidden="1">Table1[]</definedName>
    <definedName name="ExternalData_1" localSheetId="0" hidden="1">Sales_Transactions!$A$1:$N$151</definedName>
    <definedName name="NativeTimeline_Order_Date">#N/A</definedName>
    <definedName name="Slicer_Category">#N/A</definedName>
    <definedName name="Slicer_Employee_Name">#N/A</definedName>
    <definedName name="Slicer_Payment_Mode">#N/A</definedName>
    <definedName name="Slicer_Region">#N/A</definedName>
    <definedName name="Slicer_Region1">#N/A</definedName>
  </definedNames>
  <calcPr calcId="191029"/>
  <pivotCaches>
    <pivotCache cacheId="17"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Transactions" name="Sales_Transactions" connection="WorksheetConnection_PRACTISE 1.xlsx!Sales_Transactions"/>
          <x15:modelTable id="Table1" name="Table1" connection="WorksheetConnection_PRACTISE 1.xlsx!Table1"/>
        </x15:modelTables>
        <x15:modelRelationships>
          <x15:modelRelationship fromTable="Sales_Transactions" fromColumn="Order_ID" toTable="Table1" toColumn="Target Sales"/>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6" i="5" l="1"/>
  <c r="L7" i="5"/>
  <c r="L8" i="5"/>
  <c r="L9" i="5"/>
  <c r="E4" i="8"/>
  <c r="E8" i="8" s="1"/>
  <c r="D4" i="8"/>
  <c r="A8" i="8"/>
  <c r="D8" i="8"/>
  <c r="C8" i="8"/>
  <c r="B8" i="8"/>
  <c r="L152" i="2"/>
  <c r="E19" i="6"/>
  <c r="E17" i="6"/>
  <c r="E15" i="6"/>
  <c r="J9" i="5"/>
  <c r="K9" i="5" s="1"/>
  <c r="M9" i="5" s="1"/>
  <c r="J8" i="5"/>
  <c r="K8" i="5" s="1"/>
  <c r="M8" i="5" s="1"/>
  <c r="J7" i="5"/>
  <c r="K7" i="5" s="1"/>
  <c r="M7" i="5" s="1"/>
  <c r="J6" i="5"/>
  <c r="K6" i="5" s="1"/>
  <c r="M6" i="5" s="1"/>
  <c r="I7" i="5"/>
  <c r="I8" i="5"/>
  <c r="I9" i="5"/>
  <c r="I6" i="5"/>
  <c r="F16"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1F888EE-85D0-48CE-A3B2-C113468B6D72}" keepAlive="1" name="Query - Sales_Transactions" description="Connection to the 'Sales_Transactions' query in the workbook." type="5" refreshedVersion="8" background="1" saveData="1">
    <dbPr connection="Provider=Microsoft.Mashup.OleDb.1;Data Source=$Workbook$;Location=Sales_Transactions;Extended Properties=&quot;&quot;" command="SELECT * FROM [Sales_Transactions]"/>
  </connection>
  <connection id="2" xr16:uid="{23EC9892-DF67-4EB4-A0F6-066A2C11653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98F4A564-A7E3-4CC4-A599-1C029F611816}" name="WorksheetConnection_PRACTISE 1.xlsx!Sales_Transactions" type="102" refreshedVersion="8" minRefreshableVersion="5">
    <extLst>
      <ext xmlns:x15="http://schemas.microsoft.com/office/spreadsheetml/2010/11/main" uri="{DE250136-89BD-433C-8126-D09CA5730AF9}">
        <x15:connection id="Sales_Transactions">
          <x15:rangePr sourceName="_xlcn.WorksheetConnection_PRACTISE1.xlsxSales_Transactions1"/>
        </x15:connection>
      </ext>
    </extLst>
  </connection>
  <connection id="4" xr16:uid="{9472D6FB-6C3F-4620-9C60-161EA10BB489}" name="WorksheetConnection_PRACTISE 1.xlsx!Table1" type="102" refreshedVersion="8" minRefreshableVersion="5">
    <extLst>
      <ext xmlns:x15="http://schemas.microsoft.com/office/spreadsheetml/2010/11/main" uri="{DE250136-89BD-433C-8126-D09CA5730AF9}">
        <x15:connection id="Table1">
          <x15:rangePr sourceName="_xlcn.WorksheetConnection_PRACTISE1.xlsxTable1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<sst xmlns="http://schemas.openxmlformats.org/spreadsheetml/2006/main" count="1545" uniqueCount="254">
  <si>
    <t>Order_ID</t>
  </si>
  <si>
    <t>Order_Date</t>
  </si>
  <si>
    <t>Employee_ID</t>
  </si>
  <si>
    <t>Employee_Name</t>
  </si>
  <si>
    <t>Region</t>
  </si>
  <si>
    <t>Product_ID</t>
  </si>
  <si>
    <t>Product_Name</t>
  </si>
  <si>
    <t>Category</t>
  </si>
  <si>
    <t>Quantity</t>
  </si>
  <si>
    <t>Unit_Price</t>
  </si>
  <si>
    <t>Discount</t>
  </si>
  <si>
    <t>Sales_Amount</t>
  </si>
  <si>
    <t>Payment_Mode</t>
  </si>
  <si>
    <t>Order_Status</t>
  </si>
  <si>
    <t>O10001</t>
  </si>
  <si>
    <t>E106</t>
  </si>
  <si>
    <t>Neha Patel</t>
  </si>
  <si>
    <t>Mumbai</t>
  </si>
  <si>
    <t>P102</t>
  </si>
  <si>
    <t>Business Laptop 15</t>
  </si>
  <si>
    <t>Laptops</t>
  </si>
  <si>
    <t>Credit Card</t>
  </si>
  <si>
    <t>Completed</t>
  </si>
  <si>
    <t>O10002</t>
  </si>
  <si>
    <t>Net Banking</t>
  </si>
  <si>
    <t>O10003</t>
  </si>
  <si>
    <t>E101</t>
  </si>
  <si>
    <t>Arun Kumar</t>
  </si>
  <si>
    <t>Chennai</t>
  </si>
  <si>
    <t>Cash</t>
  </si>
  <si>
    <t>O10004</t>
  </si>
  <si>
    <t>E105</t>
  </si>
  <si>
    <t>Ravi Menon</t>
  </si>
  <si>
    <t>Delhi</t>
  </si>
  <si>
    <t>P104</t>
  </si>
  <si>
    <t>Mechanical Keyboard</t>
  </si>
  <si>
    <t>Accessories</t>
  </si>
  <si>
    <t>Cancelled</t>
  </si>
  <si>
    <t>O10005</t>
  </si>
  <si>
    <t>E103</t>
  </si>
  <si>
    <t>Kumar Raj</t>
  </si>
  <si>
    <t>P101</t>
  </si>
  <si>
    <t>Laptop Pro 14</t>
  </si>
  <si>
    <t>Debit Card</t>
  </si>
  <si>
    <t>O10006</t>
  </si>
  <si>
    <t>E102</t>
  </si>
  <si>
    <t>Priya Sharma</t>
  </si>
  <si>
    <t>P106</t>
  </si>
  <si>
    <t>27-inch Monitor</t>
  </si>
  <si>
    <t>Monitors</t>
  </si>
  <si>
    <t>UPI</t>
  </si>
  <si>
    <t>O10007</t>
  </si>
  <si>
    <t>P105</t>
  </si>
  <si>
    <t>24-inch Monitor</t>
  </si>
  <si>
    <t>Pending</t>
  </si>
  <si>
    <t>O10008</t>
  </si>
  <si>
    <t>O10009</t>
  </si>
  <si>
    <t>O10010</t>
  </si>
  <si>
    <t>E104</t>
  </si>
  <si>
    <t>Divya Singh</t>
  </si>
  <si>
    <t>Bangalore</t>
  </si>
  <si>
    <t>O10011</t>
  </si>
  <si>
    <t>O10012</t>
  </si>
  <si>
    <t>O10013</t>
  </si>
  <si>
    <t>O10014</t>
  </si>
  <si>
    <t>O10015</t>
  </si>
  <si>
    <t>P108</t>
  </si>
  <si>
    <t>Office Headset</t>
  </si>
  <si>
    <t>O10016</t>
  </si>
  <si>
    <t>O10017</t>
  </si>
  <si>
    <t>O10018</t>
  </si>
  <si>
    <t>P103</t>
  </si>
  <si>
    <t>Wireless Mouse</t>
  </si>
  <si>
    <t>O10019</t>
  </si>
  <si>
    <t>O10020</t>
  </si>
  <si>
    <t>O10021</t>
  </si>
  <si>
    <t>O10022</t>
  </si>
  <si>
    <t>O10023</t>
  </si>
  <si>
    <t>O10024</t>
  </si>
  <si>
    <t>O10025</t>
  </si>
  <si>
    <t>O10026</t>
  </si>
  <si>
    <t>O10027</t>
  </si>
  <si>
    <t>O10028</t>
  </si>
  <si>
    <t>O10029</t>
  </si>
  <si>
    <t>O10030</t>
  </si>
  <si>
    <t>O10031</t>
  </si>
  <si>
    <t>O10032</t>
  </si>
  <si>
    <t>O10033</t>
  </si>
  <si>
    <t>O10034</t>
  </si>
  <si>
    <t>P107</t>
  </si>
  <si>
    <t>USB-C Hub</t>
  </si>
  <si>
    <t>3 units</t>
  </si>
  <si>
    <t>O10035</t>
  </si>
  <si>
    <t>O10036</t>
  </si>
  <si>
    <t>O10037</t>
  </si>
  <si>
    <t>O10038</t>
  </si>
  <si>
    <t>O10039</t>
  </si>
  <si>
    <t>O10040</t>
  </si>
  <si>
    <t>O10041</t>
  </si>
  <si>
    <t>O10042</t>
  </si>
  <si>
    <t>O10043</t>
  </si>
  <si>
    <t>O10044</t>
  </si>
  <si>
    <t>O10045</t>
  </si>
  <si>
    <t>O10046</t>
  </si>
  <si>
    <t>O10047</t>
  </si>
  <si>
    <t>O10048</t>
  </si>
  <si>
    <t>O10049</t>
  </si>
  <si>
    <t>O10050</t>
  </si>
  <si>
    <t>O10051</t>
  </si>
  <si>
    <t>O10052</t>
  </si>
  <si>
    <t>O10053</t>
  </si>
  <si>
    <t>O10054</t>
  </si>
  <si>
    <t>O10055</t>
  </si>
  <si>
    <t>O10056</t>
  </si>
  <si>
    <t>O10057</t>
  </si>
  <si>
    <t>O10058</t>
  </si>
  <si>
    <t>O10059</t>
  </si>
  <si>
    <t>O10060</t>
  </si>
  <si>
    <t>O10061</t>
  </si>
  <si>
    <t>O10062</t>
  </si>
  <si>
    <t>O10063</t>
  </si>
  <si>
    <t>O10064</t>
  </si>
  <si>
    <t>O10065</t>
  </si>
  <si>
    <t>O10066</t>
  </si>
  <si>
    <t>O10067</t>
  </si>
  <si>
    <t>O10068</t>
  </si>
  <si>
    <t>O10069</t>
  </si>
  <si>
    <t>O10070</t>
  </si>
  <si>
    <t>O10071</t>
  </si>
  <si>
    <t>O10072</t>
  </si>
  <si>
    <t>O10073</t>
  </si>
  <si>
    <t>O10074</t>
  </si>
  <si>
    <t>O10075</t>
  </si>
  <si>
    <t>O10076</t>
  </si>
  <si>
    <t>O10077</t>
  </si>
  <si>
    <t>O10078</t>
  </si>
  <si>
    <t>O10079</t>
  </si>
  <si>
    <t>O10080</t>
  </si>
  <si>
    <t>O10081</t>
  </si>
  <si>
    <t>O10082</t>
  </si>
  <si>
    <t>O10083</t>
  </si>
  <si>
    <t>O10084</t>
  </si>
  <si>
    <t>O10085</t>
  </si>
  <si>
    <t>O10086</t>
  </si>
  <si>
    <t>O10087</t>
  </si>
  <si>
    <t>O10088</t>
  </si>
  <si>
    <t>O10089</t>
  </si>
  <si>
    <t>O10090</t>
  </si>
  <si>
    <t>O10091</t>
  </si>
  <si>
    <t>O10092</t>
  </si>
  <si>
    <t>O10093</t>
  </si>
  <si>
    <t>O10094</t>
  </si>
  <si>
    <t>O10095</t>
  </si>
  <si>
    <t>O10096</t>
  </si>
  <si>
    <t>O10097</t>
  </si>
  <si>
    <t>O10098</t>
  </si>
  <si>
    <t>O10099</t>
  </si>
  <si>
    <t>O10100</t>
  </si>
  <si>
    <t>O10101</t>
  </si>
  <si>
    <t>O10102</t>
  </si>
  <si>
    <t>O10103</t>
  </si>
  <si>
    <t>O10104</t>
  </si>
  <si>
    <t>upi</t>
  </si>
  <si>
    <t>O10105</t>
  </si>
  <si>
    <t>O10106</t>
  </si>
  <si>
    <t>O10107</t>
  </si>
  <si>
    <t>O10108</t>
  </si>
  <si>
    <t>O10109</t>
  </si>
  <si>
    <t>O10110</t>
  </si>
  <si>
    <t>O10111</t>
  </si>
  <si>
    <t>O10112</t>
  </si>
  <si>
    <t>O10113</t>
  </si>
  <si>
    <t>O10114</t>
  </si>
  <si>
    <t>O10115</t>
  </si>
  <si>
    <t>O10116</t>
  </si>
  <si>
    <t>O10117</t>
  </si>
  <si>
    <t>O10118</t>
  </si>
  <si>
    <t>O10119</t>
  </si>
  <si>
    <t>E999</t>
  </si>
  <si>
    <t>O10120</t>
  </si>
  <si>
    <t>O10121</t>
  </si>
  <si>
    <t>O10122</t>
  </si>
  <si>
    <t>O10123</t>
  </si>
  <si>
    <t>O10124</t>
  </si>
  <si>
    <t>O10125</t>
  </si>
  <si>
    <t>O10126</t>
  </si>
  <si>
    <t>O10127</t>
  </si>
  <si>
    <t>O10128</t>
  </si>
  <si>
    <t>O10129</t>
  </si>
  <si>
    <t>O10130</t>
  </si>
  <si>
    <t xml:space="preserve"> O10131 </t>
  </si>
  <si>
    <t>O10132</t>
  </si>
  <si>
    <t>O10133</t>
  </si>
  <si>
    <t>O10134</t>
  </si>
  <si>
    <t>O10135</t>
  </si>
  <si>
    <t>O10136</t>
  </si>
  <si>
    <t>O10137</t>
  </si>
  <si>
    <t>O10138</t>
  </si>
  <si>
    <t>O10139</t>
  </si>
  <si>
    <t>O10140</t>
  </si>
  <si>
    <t>O10142</t>
  </si>
  <si>
    <t>O10143</t>
  </si>
  <si>
    <t>O10144</t>
  </si>
  <si>
    <t>O10145</t>
  </si>
  <si>
    <t>O10146</t>
  </si>
  <si>
    <t>O10147</t>
  </si>
  <si>
    <t>O10148</t>
  </si>
  <si>
    <t>O10149</t>
  </si>
  <si>
    <t>O10150</t>
  </si>
  <si>
    <t>Missing</t>
  </si>
  <si>
    <t>Row Labels</t>
  </si>
  <si>
    <t>Grand Total</t>
  </si>
  <si>
    <t>Sum of Sales_Amount</t>
  </si>
  <si>
    <t>Sum of Quantity</t>
  </si>
  <si>
    <t>Average of Sales_Amount2</t>
  </si>
  <si>
    <t>Which 5 employees generated the highest total sales?</t>
  </si>
  <si>
    <t>For each Region, show total Sales, total Quantity sold, and average Sales per transaction.</t>
  </si>
  <si>
    <t>WIRELESS MOUSE</t>
  </si>
  <si>
    <t>accessories</t>
  </si>
  <si>
    <t>Which products generate the most sales, and how many units were sold?</t>
  </si>
  <si>
    <t>Which category generates the most revenue, and does the sales ranking match the quantity ranking?</t>
  </si>
  <si>
    <r>
      <t xml:space="preserve">business at the </t>
    </r>
    <r>
      <rPr>
        <b/>
        <sz val="11"/>
        <color rgb="FF000000"/>
        <rFont val="Calibri"/>
        <family val="2"/>
        <scheme val="minor"/>
      </rPr>
      <t>category level</t>
    </r>
    <r>
      <rPr>
        <sz val="11"/>
        <color rgb="FF000000"/>
        <rFont val="Calibri"/>
        <family val="2"/>
        <scheme val="minor"/>
      </rPr>
      <t>.</t>
    </r>
  </si>
  <si>
    <t>Which product categories are driving sales in each region?</t>
  </si>
  <si>
    <t>Column Labels</t>
  </si>
  <si>
    <t>Count of Order_ID</t>
  </si>
  <si>
    <r>
      <t xml:space="preserve">Now analyze </t>
    </r>
    <r>
      <rPr>
        <b/>
        <sz val="11"/>
        <color theme="1"/>
        <rFont val="Calibri"/>
        <family val="2"/>
        <scheme val="minor"/>
      </rPr>
      <t>how customers are paying</t>
    </r>
    <r>
      <rPr>
        <sz val="11"/>
        <color theme="1"/>
        <rFont val="Calibri"/>
        <family val="2"/>
        <scheme val="minor"/>
      </rPr>
      <t>.</t>
    </r>
  </si>
  <si>
    <t>Payment Mode Analysis</t>
  </si>
  <si>
    <t>Which payment mode generates the most sales, and does it also have the highest number of orders?</t>
  </si>
  <si>
    <r>
      <t xml:space="preserve">Top 5 Products </t>
    </r>
    <r>
      <rPr>
        <b/>
        <sz val="11"/>
        <color theme="1"/>
        <rFont val="Calibri"/>
        <family val="2"/>
        <scheme val="minor"/>
      </rPr>
      <t>by Quantity</t>
    </r>
  </si>
  <si>
    <t>Which 5 products have the highest unit volume?</t>
  </si>
  <si>
    <t>% of total sales</t>
  </si>
  <si>
    <t>What percentage of the company's total sales comes from each category?</t>
  </si>
  <si>
    <t>This is contribution analysis</t>
  </si>
  <si>
    <t>Difference from</t>
  </si>
  <si>
    <t>This compares each region's sales against the previous region in the PivotTable.</t>
  </si>
  <si>
    <t>Who is the #1 salesperson in each region?</t>
  </si>
  <si>
    <t>Ranking with multiple levels</t>
  </si>
  <si>
    <t>Target Sales</t>
  </si>
  <si>
    <t>Target</t>
  </si>
  <si>
    <t>Actual</t>
  </si>
  <si>
    <t>Variance</t>
  </si>
  <si>
    <t>Achievement %</t>
  </si>
  <si>
    <t>Variance %</t>
  </si>
  <si>
    <t>% of grand total</t>
  </si>
  <si>
    <r>
      <t>Mumbai:</t>
    </r>
    <r>
      <rPr>
        <sz val="11"/>
        <color theme="1"/>
        <rFont val="Calibri"/>
        <family val="2"/>
        <scheme val="minor"/>
      </rPr>
      <t xml:space="preserve"> Recognize the strong performance and consider incentives/recognition for high-performing salespeople.</t>
    </r>
  </si>
  <si>
    <r>
      <t>Chennai:</t>
    </r>
    <r>
      <rPr>
        <sz val="11"/>
        <color theme="1"/>
        <rFont val="Calibri"/>
        <family val="2"/>
        <scheme val="minor"/>
      </rPr>
      <t xml:space="preserve"> Investigate the significantly lower AOV and salesperson productivity; identify whether the issue is product mix, selling behavior, customer mix, or training.</t>
    </r>
  </si>
  <si>
    <r>
      <t>Company-wide:</t>
    </r>
    <r>
      <rPr>
        <sz val="11"/>
        <color theme="1"/>
        <rFont val="Calibri"/>
        <family val="2"/>
        <scheme val="minor"/>
      </rPr>
      <t xml:space="preserve"> Study what Mumbai is doing differently—especially its higher AOV and salesperson performance—and replicate the successful practices where appropriate.</t>
    </r>
  </si>
  <si>
    <t xml:space="preserve"> Sales Dashboard</t>
  </si>
  <si>
    <t xml:space="preserve">  Overview of Sales, Targets, and Performance Across Regions and Employees</t>
  </si>
  <si>
    <t>total sales</t>
  </si>
  <si>
    <t>total orders</t>
  </si>
  <si>
    <t>aov</t>
  </si>
  <si>
    <t>acheivement</t>
  </si>
  <si>
    <t>variance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</si>
</sst>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 #,##0;[Red]&quot;₹&quot;\ \-#,##0"/>
    <numFmt numFmtId="8" formatCode="&quot;₹&quot;\ #,##0.00;[Red]&quot;₹&quot;\ \-#,##0.00"/>
    <numFmt numFmtId="164" formatCode="0.0"/>
  </numFmts>
  <fonts count="9" x14ac:knownFonts="1">
    <font>
      <sz val="11"/>
      <color theme="1"/>
      <name val="Calibri"/>
      <family val="2"/>
      <scheme val="minor"/>
    </font>
    <font>
      <b/>
      <sz val="11"/>
      <color theme="1"/>
      <name val="Calibri"/>
      <family val="2"/>
      <scheme val="minor"/>
    </font>
    <font>
      <sz val="11"/>
      <color rgb="FF000000"/>
      <name val="Calibri"/>
      <family val="2"/>
      <scheme val="minor"/>
    </font>
    <font>
      <b/>
      <sz val="11"/>
      <color rgb="FF000000"/>
      <name val="Calibri"/>
      <family val="2"/>
      <scheme val="minor"/>
    </font>
    <font>
      <b/>
      <sz val="13.5"/>
      <color theme="1"/>
      <name val="Calibri"/>
      <family val="2"/>
      <scheme val="minor"/>
    </font>
    <font>
      <sz val="26"/>
      <color rgb="FFFFFFFF"/>
      <name val="Calibri"/>
      <family val="2"/>
      <scheme val="minor"/>
    </font>
    <font>
      <sz val="11"/>
      <color rgb="FF002060"/>
      <name val="Calibri"/>
      <family val="2"/>
      <scheme val="minor"/>
    </font>
    <font>
      <sz val="13"/>
      <color rgb="FFC88800"/>
      <name val="Calibri"/>
      <family val="2"/>
      <scheme val="minor"/>
    </font>
    <font>
      <sz val="26"/>
      <color rgb="FFC88800"/>
      <name val="Calibri"/>
      <family val="2"/>
      <scheme val="minor"/>
    </font>
  </fonts>
  <fills count="4">
    <fill>
      <patternFill patternType="none"/>
    </fill>
    <fill>
      <patternFill patternType="gray125"/>
    </fill>
    <fill>
      <patternFill patternType="solid">
        <fgColor theme="3" tint="0.749992370372631"/>
        <bgColor indexed="64"/>
      </patternFill>
    </fill>
    <fill>
      <patternFill patternType="solid">
        <fgColor theme="9" tint="-0.249977111117893"/>
        <bgColor indexed="64"/>
      </patternFill>
    </fill>
  </fills>
  <borders count="1">
    <border>
      <left/>
      <right/>
      <top/>
      <bottom/>
      <diagonal/>
    </border>
  </borders>
  <cellStyleXfs count="1">
    <xf numFmtId="0" fontId="0" fillId="0" borderId="0"/>
  </cellStyleXfs>
  <cellXfs count="26">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applyAlignment="1">
      <alignment horizontal="left"/>
    </xf>
    <xf numFmtId="14" fontId="0" fillId="0" borderId="0" xfId="0" applyNumberFormat="1"/>
    <xf numFmtId="2" fontId="0" fillId="0" borderId="0" xfId="0" applyNumberFormat="1"/>
    <xf numFmtId="0" fontId="2" fillId="0" borderId="0" xfId="0" applyFont="1"/>
    <xf numFmtId="0" fontId="4" fillId="0" borderId="0" xfId="0" applyFont="1" applyAlignment="1">
      <alignment vertical="center"/>
    </xf>
    <xf numFmtId="10" fontId="0" fillId="0" borderId="0" xfId="0" applyNumberFormat="1"/>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applyAlignment="1">
      <alignment vertical="center" wrapText="1"/>
    </xf>
    <xf numFmtId="6" fontId="0" fillId="0" borderId="0" xfId="0" applyNumberFormat="1" applyAlignment="1">
      <alignment horizontal="right" vertical="center" wrapText="1"/>
    </xf>
    <xf numFmtId="10" fontId="0" fillId="0" borderId="0" xfId="0" applyNumberFormat="1" applyAlignment="1">
      <alignment horizontal="right" vertical="center" wrapText="1"/>
    </xf>
    <xf numFmtId="8" fontId="0" fillId="0" borderId="0" xfId="0" applyNumberFormat="1"/>
    <xf numFmtId="0" fontId="1" fillId="0" borderId="0" xfId="0" applyFont="1"/>
    <xf numFmtId="6" fontId="0" fillId="0" borderId="0" xfId="0" applyNumberFormat="1"/>
    <xf numFmtId="0" fontId="0" fillId="0" borderId="0" xfId="0" applyNumberFormat="1"/>
    <xf numFmtId="0" fontId="0" fillId="2" borderId="0" xfId="0" applyFill="1" applyAlignment="1">
      <alignment horizontal="left"/>
    </xf>
    <xf numFmtId="0" fontId="5" fillId="3" borderId="0" xfId="0" applyFont="1" applyFill="1"/>
    <xf numFmtId="0" fontId="0" fillId="3" borderId="0" xfId="0" applyFill="1" applyAlignment="1">
      <alignment horizontal="left"/>
    </xf>
    <xf numFmtId="0" fontId="6" fillId="3" borderId="0" xfId="0" applyFont="1" applyFill="1"/>
    <xf numFmtId="0" fontId="7" fillId="3" borderId="0" xfId="0" applyFont="1" applyFill="1" applyAlignment="1">
      <alignment horizontal="left"/>
    </xf>
    <xf numFmtId="0" fontId="8" fillId="3" borderId="0" xfId="0" applyFont="1" applyFill="1"/>
  </cellXfs>
  <cellStyles count="1">
    <cellStyle name="Normal" xfId="0" builtinId="0"/>
  </cellStyles>
  <dxfs count="43">
    <dxf>
      <numFmt numFmtId="10" formatCode="&quot;₹&quot;\ #,##0;[Red]&quot;₹&quot;\ \-#,##0"/>
    </dxf>
    <dxf>
      <numFmt numFmtId="14" formatCode="0.00%"/>
    </dxf>
    <dxf>
      <numFmt numFmtId="14" formatCode="0.00%"/>
      <alignment horizontal="right" vertical="center" textRotation="0" wrapText="1" indent="0" justifyLastLine="0" shrinkToFit="0" readingOrder="0"/>
    </dxf>
    <dxf>
      <numFmt numFmtId="14" formatCode="0.00%"/>
    </dxf>
    <dxf>
      <numFmt numFmtId="10" formatCode="&quot;₹&quot;\ #,##0;[Red]&quot;₹&quot;\ \-#,##0"/>
      <alignment horizontal="righ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numFmt numFmtId="10" formatCode="&quot;₹&quot;\ #,##0;[Red]&quot;₹&quot;\ \-#,##0"/>
      <alignment horizontal="right" vertical="center" textRotation="0" wrapText="1" indent="0" justifyLastLine="0" shrinkToFit="0" readingOrder="0"/>
    </dxf>
    <dxf>
      <alignment horizontal="general" vertical="center" textRotation="0" wrapText="1" indent="0" justifyLastLine="0" shrinkToFit="0" readingOrder="0"/>
    </dxf>
    <dxf>
      <numFmt numFmtId="10" formatCode="&quot;₹&quot;\ #,##0;[Red]&quot;₹&quot;\ \-#,##0"/>
      <alignment horizontal="right" vertical="center" textRotation="0" wrapText="1" indent="0" justifyLastLine="0" shrinkToFit="0" readingOrder="0"/>
    </dxf>
    <dxf>
      <alignment horizontal="general" vertical="center" textRotation="0" wrapText="1" indent="0" justifyLastLine="0" shrinkToFit="0" readingOrder="0"/>
    </dxf>
    <dxf>
      <numFmt numFmtId="164" formatCode="0.0"/>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s>
  <tableStyles count="0" defaultTableStyle="TableStyleMedium2" defaultPivotStyle="PivotStyleLight16"/>
  <colors>
    <mruColors>
      <color rgb="FFC88800"/>
      <color rgb="FFFFFF99"/>
      <color rgb="FF003366"/>
      <color rgb="FF003399"/>
      <color rgb="FFE7CE19"/>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4.xml"/><Relationship Id="rId18" Type="http://schemas.openxmlformats.org/officeDocument/2006/relationships/styles" Target="styles.xml"/><Relationship Id="rId26" Type="http://schemas.openxmlformats.org/officeDocument/2006/relationships/customXml" Target="../customXml/item1.xml"/><Relationship Id="rId39" Type="http://schemas.openxmlformats.org/officeDocument/2006/relationships/customXml" Target="../customXml/item14.xml"/><Relationship Id="rId21" Type="http://schemas.microsoft.com/office/2017/06/relationships/rdRichValue" Target="richData/rdrichvalue.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microsoft.com/office/2011/relationships/timelineCache" Target="timelineCaches/timelineCache1.xml"/><Relationship Id="rId23" Type="http://schemas.microsoft.com/office/2017/06/relationships/rdRichValueTypes" Target="richData/rdRichValueTypes.xml"/><Relationship Id="rId28" Type="http://schemas.openxmlformats.org/officeDocument/2006/relationships/customXml" Target="../customXml/item3.xml"/><Relationship Id="rId36" Type="http://schemas.openxmlformats.org/officeDocument/2006/relationships/customXml" Target="../customXml/item11.xml"/><Relationship Id="rId10" Type="http://schemas.microsoft.com/office/2007/relationships/slicerCache" Target="slicerCaches/slicerCache1.xml"/><Relationship Id="rId19" Type="http://schemas.openxmlformats.org/officeDocument/2006/relationships/sharedStrings" Target="sharedStrings.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 Id="rId22" Type="http://schemas.microsoft.com/office/2017/06/relationships/rdRichValueStructure" Target="richData/rdrichvaluestructure.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microsoft.com/office/2007/relationships/slicerCache" Target="slicerCaches/slicerCache3.xml"/><Relationship Id="rId17" Type="http://schemas.openxmlformats.org/officeDocument/2006/relationships/connections" Target="connections.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[PRACTISE 1.xlsx]Analysis 2!PivotTable6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2'!$B$27:$B$28</c:f>
              <c:strCache>
                <c:ptCount val="1"/>
                <c:pt idx="0">
                  <c:v>Accessories</c:v>
                </c:pt>
              </c:strCache>
            </c:strRef>
          </c:tx>
          <c:spPr>
            <a:solidFill>
              <a:schemeClr val="accent1"/>
            </a:solidFill>
            <a:ln>
              <a:noFill/>
            </a:ln>
            <a:effectLst/>
          </c:spPr>
          <c:invertIfNegative val="0"/>
          <c:cat>
            <c:strRef>
              <c:f>'Analysis 2'!$A$29:$A$33</c:f>
              <c:strCache>
                <c:ptCount val="4"/>
                <c:pt idx="0">
                  <c:v>Bangalore</c:v>
                </c:pt>
                <c:pt idx="1">
                  <c:v>Chennai</c:v>
                </c:pt>
                <c:pt idx="2">
                  <c:v>Delhi</c:v>
                </c:pt>
                <c:pt idx="3">
                  <c:v>Mumbai</c:v>
                </c:pt>
              </c:strCache>
            </c:strRef>
          </c:cat>
          <c:val>
            <c:numRef>
              <c:f>'Analysis 2'!$B$29:$B$33</c:f>
              <c:numCache>
                <c:formatCode>General</c:formatCode>
                <c:ptCount val="4"/>
                <c:pt idx="0">
                  <c:v>109790</c:v>
                </c:pt>
                <c:pt idx="1">
                  <c:v>291580</c:v>
                </c:pt>
                <c:pt idx="2">
                  <c:v>125815</c:v>
                </c:pt>
                <c:pt idx="3">
                  <c:v>212655</c:v>
                </c:pt>
              </c:numCache>
            </c:numRef>
          </c:val>
          <c:extLst>
            <c:ext xmlns:c16="http://schemas.microsoft.com/office/drawing/2014/chart" uri="{C3380CC4-5D6E-409C-BE32-E72D297353CC}">
              <c16:uniqueId val="{00000000-4F9C-40D4-BCE3-21379E5F9F08}"/>
            </c:ext>
          </c:extLst>
        </c:ser>
        <c:ser>
          <c:idx val="1"/>
          <c:order val="1"/>
          <c:tx>
            <c:strRef>
              <c:f>'Analysis 2'!$C$27:$C$28</c:f>
              <c:strCache>
                <c:ptCount val="1"/>
                <c:pt idx="0">
                  <c:v>Laptops</c:v>
                </c:pt>
              </c:strCache>
            </c:strRef>
          </c:tx>
          <c:spPr>
            <a:solidFill>
              <a:schemeClr val="accent2"/>
            </a:solidFill>
            <a:ln>
              <a:noFill/>
            </a:ln>
            <a:effectLst/>
          </c:spPr>
          <c:invertIfNegative val="0"/>
          <c:cat>
            <c:strRef>
              <c:f>'Analysis 2'!$A$29:$A$33</c:f>
              <c:strCache>
                <c:ptCount val="4"/>
                <c:pt idx="0">
                  <c:v>Bangalore</c:v>
                </c:pt>
                <c:pt idx="1">
                  <c:v>Chennai</c:v>
                </c:pt>
                <c:pt idx="2">
                  <c:v>Delhi</c:v>
                </c:pt>
                <c:pt idx="3">
                  <c:v>Mumbai</c:v>
                </c:pt>
              </c:strCache>
            </c:strRef>
          </c:cat>
          <c:val>
            <c:numRef>
              <c:f>'Analysis 2'!$C$29:$C$33</c:f>
              <c:numCache>
                <c:formatCode>General</c:formatCode>
                <c:ptCount val="4"/>
                <c:pt idx="0">
                  <c:v>1083250</c:v>
                </c:pt>
                <c:pt idx="1">
                  <c:v>1195000</c:v>
                </c:pt>
                <c:pt idx="2">
                  <c:v>1017250</c:v>
                </c:pt>
                <c:pt idx="3">
                  <c:v>1685250</c:v>
                </c:pt>
              </c:numCache>
            </c:numRef>
          </c:val>
          <c:extLst>
            <c:ext xmlns:c16="http://schemas.microsoft.com/office/drawing/2014/chart" uri="{C3380CC4-5D6E-409C-BE32-E72D297353CC}">
              <c16:uniqueId val="{00000001-4F9C-40D4-BCE3-21379E5F9F08}"/>
            </c:ext>
          </c:extLst>
        </c:ser>
        <c:ser>
          <c:idx val="2"/>
          <c:order val="2"/>
          <c:tx>
            <c:strRef>
              <c:f>'Analysis 2'!$D$27:$D$28</c:f>
              <c:strCache>
                <c:ptCount val="1"/>
                <c:pt idx="0">
                  <c:v>Monitors</c:v>
                </c:pt>
              </c:strCache>
            </c:strRef>
          </c:tx>
          <c:spPr>
            <a:solidFill>
              <a:schemeClr val="accent3"/>
            </a:solidFill>
            <a:ln>
              <a:noFill/>
            </a:ln>
            <a:effectLst/>
          </c:spPr>
          <c:invertIfNegative val="0"/>
          <c:cat>
            <c:strRef>
              <c:f>'Analysis 2'!$A$29:$A$33</c:f>
              <c:strCache>
                <c:ptCount val="4"/>
                <c:pt idx="0">
                  <c:v>Bangalore</c:v>
                </c:pt>
                <c:pt idx="1">
                  <c:v>Chennai</c:v>
                </c:pt>
                <c:pt idx="2">
                  <c:v>Delhi</c:v>
                </c:pt>
                <c:pt idx="3">
                  <c:v>Mumbai</c:v>
                </c:pt>
              </c:strCache>
            </c:strRef>
          </c:cat>
          <c:val>
            <c:numRef>
              <c:f>'Analysis 2'!$D$29:$D$33</c:f>
              <c:numCache>
                <c:formatCode>General</c:formatCode>
                <c:ptCount val="4"/>
                <c:pt idx="0">
                  <c:v>266800</c:v>
                </c:pt>
                <c:pt idx="1">
                  <c:v>394075</c:v>
                </c:pt>
                <c:pt idx="2">
                  <c:v>73800</c:v>
                </c:pt>
                <c:pt idx="3">
                  <c:v>456025</c:v>
                </c:pt>
              </c:numCache>
            </c:numRef>
          </c:val>
          <c:extLst>
            <c:ext xmlns:c16="http://schemas.microsoft.com/office/drawing/2014/chart" uri="{C3380CC4-5D6E-409C-BE32-E72D297353CC}">
              <c16:uniqueId val="{00000002-4F9C-40D4-BCE3-21379E5F9F08}"/>
            </c:ext>
          </c:extLst>
        </c:ser>
        <c:dLbls>
          <c:showLegendKey val="0"/>
          <c:showVal val="0"/>
          <c:showCatName val="0"/>
          <c:showSerName val="0"/>
          <c:showPercent val="0"/>
          <c:showBubbleSize val="0"/>
        </c:dLbls>
        <c:gapWidth val="219"/>
        <c:overlap val="-27"/>
        <c:axId val="527997231"/>
        <c:axId val="503051759"/>
      </c:barChart>
      <c:catAx>
        <c:axId val="5279972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051759"/>
        <c:crosses val="autoZero"/>
        <c:auto val="1"/>
        <c:lblAlgn val="ctr"/>
        <c:lblOffset val="100"/>
        <c:noMultiLvlLbl val="0"/>
      </c:catAx>
      <c:valAx>
        <c:axId val="50305175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997231"/>
        <c:crosses val="autoZero"/>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[PRACTISE 1.xlsx]Analysis 4!salesovertime</c:name>
    <c:fmtId val="2"/>
  </c:pivotSource>
  <c:chart>
    <c:autoTitleDeleted val="1"/>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70665642549703"/>
          <c:y val="7.4285730997914731E-2"/>
          <c:w val="0.84723918531175235"/>
          <c:h val="0.68584922628778999"/>
        </c:manualLayout>
      </c:layout>
      <c:lineChart>
        <c:grouping val="standard"/>
        <c:varyColors val="0"/>
        <c:ser>
          <c:idx val="0"/>
          <c:order val="0"/>
          <c:tx>
            <c:strRef>
              <c:f>'Analysis 4'!$B$15</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'Analysis 4'!$A$16:$A$46</c:f>
              <c:strCache>
                <c:ptCount val="30"/>
                <c:pt idx="0">
                  <c:v>01-09-2026</c:v>
                </c:pt>
                <c:pt idx="1">
                  <c:v>02-09-2026</c:v>
                </c:pt>
                <c:pt idx="2">
                  <c:v>03-09-2026</c:v>
                </c:pt>
                <c:pt idx="3">
                  <c:v>04-09-2026</c:v>
                </c:pt>
                <c:pt idx="4">
                  <c:v>05-09-2026</c:v>
                </c:pt>
                <c:pt idx="5">
                  <c:v>06-09-2026</c:v>
                </c:pt>
                <c:pt idx="6">
                  <c:v>07-09-2026</c:v>
                </c:pt>
                <c:pt idx="7">
                  <c:v>08-09-2026</c:v>
                </c:pt>
                <c:pt idx="8">
                  <c:v>09-09-2026</c:v>
                </c:pt>
                <c:pt idx="9">
                  <c:v>10-09-2026</c:v>
                </c:pt>
                <c:pt idx="10">
                  <c:v>11-09-2026</c:v>
                </c:pt>
                <c:pt idx="11">
                  <c:v>12-09-2026</c:v>
                </c:pt>
                <c:pt idx="12">
                  <c:v>13-09-2026</c:v>
                </c:pt>
                <c:pt idx="13">
                  <c:v>14-09-2026</c:v>
                </c:pt>
                <c:pt idx="14">
                  <c:v>15-09-2026</c:v>
                </c:pt>
                <c:pt idx="15">
                  <c:v>16-09-2026</c:v>
                </c:pt>
                <c:pt idx="16">
                  <c:v>17-09-2026</c:v>
                </c:pt>
                <c:pt idx="17">
                  <c:v>18-09-2026</c:v>
                </c:pt>
                <c:pt idx="18">
                  <c:v>19-09-2026</c:v>
                </c:pt>
                <c:pt idx="19">
                  <c:v>20-09-2026</c:v>
                </c:pt>
                <c:pt idx="20">
                  <c:v>21-09-2026</c:v>
                </c:pt>
                <c:pt idx="21">
                  <c:v>22-09-2026</c:v>
                </c:pt>
                <c:pt idx="22">
                  <c:v>23-09-2026</c:v>
                </c:pt>
                <c:pt idx="23">
                  <c:v>24-09-2026</c:v>
                </c:pt>
                <c:pt idx="24">
                  <c:v>25-09-2026</c:v>
                </c:pt>
                <c:pt idx="25">
                  <c:v>26-09-2026</c:v>
                </c:pt>
                <c:pt idx="26">
                  <c:v>27-09-2026</c:v>
                </c:pt>
                <c:pt idx="27">
                  <c:v>28-09-2026</c:v>
                </c:pt>
                <c:pt idx="28">
                  <c:v>29-09-2026</c:v>
                </c:pt>
                <c:pt idx="29">
                  <c:v>30-09-2026</c:v>
                </c:pt>
              </c:strCache>
            </c:strRef>
          </c:cat>
          <c:val>
            <c:numRef>
              <c:f>'Analysis 4'!$B$16:$B$46</c:f>
              <c:numCache>
                <c:formatCode>General</c:formatCode>
                <c:ptCount val="30"/>
                <c:pt idx="0">
                  <c:v>62435</c:v>
                </c:pt>
                <c:pt idx="1">
                  <c:v>446800</c:v>
                </c:pt>
                <c:pt idx="2">
                  <c:v>135095</c:v>
                </c:pt>
                <c:pt idx="3">
                  <c:v>179025</c:v>
                </c:pt>
                <c:pt idx="4">
                  <c:v>100800</c:v>
                </c:pt>
                <c:pt idx="5">
                  <c:v>313825</c:v>
                </c:pt>
                <c:pt idx="6">
                  <c:v>112050</c:v>
                </c:pt>
                <c:pt idx="7">
                  <c:v>160500</c:v>
                </c:pt>
                <c:pt idx="8">
                  <c:v>146775</c:v>
                </c:pt>
                <c:pt idx="9">
                  <c:v>251100</c:v>
                </c:pt>
                <c:pt idx="10">
                  <c:v>226975</c:v>
                </c:pt>
                <c:pt idx="11">
                  <c:v>12600</c:v>
                </c:pt>
                <c:pt idx="12">
                  <c:v>60500</c:v>
                </c:pt>
                <c:pt idx="13">
                  <c:v>380250</c:v>
                </c:pt>
                <c:pt idx="14">
                  <c:v>474850</c:v>
                </c:pt>
                <c:pt idx="15">
                  <c:v>621170</c:v>
                </c:pt>
                <c:pt idx="16">
                  <c:v>369140</c:v>
                </c:pt>
                <c:pt idx="17">
                  <c:v>69825</c:v>
                </c:pt>
                <c:pt idx="18">
                  <c:v>765350</c:v>
                </c:pt>
                <c:pt idx="19">
                  <c:v>179910</c:v>
                </c:pt>
                <c:pt idx="20">
                  <c:v>272400</c:v>
                </c:pt>
                <c:pt idx="21">
                  <c:v>77500</c:v>
                </c:pt>
                <c:pt idx="22">
                  <c:v>27000</c:v>
                </c:pt>
                <c:pt idx="23">
                  <c:v>80350</c:v>
                </c:pt>
                <c:pt idx="24">
                  <c:v>212815</c:v>
                </c:pt>
                <c:pt idx="25">
                  <c:v>193000</c:v>
                </c:pt>
                <c:pt idx="26">
                  <c:v>144700</c:v>
                </c:pt>
                <c:pt idx="27">
                  <c:v>58300</c:v>
                </c:pt>
                <c:pt idx="28">
                  <c:v>111500</c:v>
                </c:pt>
                <c:pt idx="29">
                  <c:v>664750</c:v>
                </c:pt>
              </c:numCache>
            </c:numRef>
          </c:val>
          <c:smooth val="0"/>
          <c:extLst>
            <c:ext xmlns:c16="http://schemas.microsoft.com/office/drawing/2014/chart" uri="{C3380CC4-5D6E-409C-BE32-E72D297353CC}">
              <c16:uniqueId val="{00000000-9C86-49DF-B0F4-B97127283A79}"/>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24378591"/>
        <c:axId val="161136847"/>
      </c:lineChart>
      <c:catAx>
        <c:axId val="124378591"/>
        <c:scaling>
          <c:orientation val="minMax"/>
        </c:scaling>
        <c:delete val="0"/>
        <c:axPos val="b"/>
        <c:numFmt formatCode="General" sourceLinked="1"/>
        <c:majorTickMark val="out"/>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dk1"/>
                </a:solidFill>
                <a:latin typeface="+mn-lt"/>
                <a:ea typeface="+mn-ea"/>
                <a:cs typeface="+mn-cs"/>
              </a:defRPr>
            </a:pPr>
            <a:endParaRPr lang="en-US"/>
          </a:p>
        </c:txPr>
        <c:crossAx val="161136847"/>
        <c:crosses val="autoZero"/>
        <c:auto val="1"/>
        <c:lblAlgn val="ctr"/>
        <c:lblOffset val="100"/>
        <c:noMultiLvlLbl val="0"/>
      </c:catAx>
      <c:valAx>
        <c:axId val="16113684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4378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[PRACTISE 1.xlsx]Analysis 5!topemployees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5'!$B$3</c:f>
              <c:strCache>
                <c:ptCount val="1"/>
                <c:pt idx="0">
                  <c:v>Total</c:v>
                </c:pt>
              </c:strCache>
            </c:strRef>
          </c:tx>
          <c:spPr>
            <a:solidFill>
              <a:schemeClr val="accent1"/>
            </a:solidFill>
            <a:ln>
              <a:noFill/>
            </a:ln>
            <a:effectLst/>
          </c:spPr>
          <c:invertIfNegative val="0"/>
          <c:cat>
            <c:strRef>
              <c:f>'Analysis 5'!$A$4:$A$10</c:f>
              <c:strCache>
                <c:ptCount val="6"/>
                <c:pt idx="0">
                  <c:v>Divya Singh</c:v>
                </c:pt>
                <c:pt idx="1">
                  <c:v>Ravi Menon</c:v>
                </c:pt>
                <c:pt idx="2">
                  <c:v>Neha Patel</c:v>
                </c:pt>
                <c:pt idx="3">
                  <c:v>Priya Sharma</c:v>
                </c:pt>
                <c:pt idx="4">
                  <c:v>Arun Kumar</c:v>
                </c:pt>
                <c:pt idx="5">
                  <c:v>Kumar Raj</c:v>
                </c:pt>
              </c:strCache>
            </c:strRef>
          </c:cat>
          <c:val>
            <c:numRef>
              <c:f>'Analysis 5'!$B$4:$B$10</c:f>
              <c:numCache>
                <c:formatCode>General</c:formatCode>
                <c:ptCount val="6"/>
                <c:pt idx="0">
                  <c:v>1459840</c:v>
                </c:pt>
                <c:pt idx="1">
                  <c:v>1258865</c:v>
                </c:pt>
                <c:pt idx="2">
                  <c:v>1189685</c:v>
                </c:pt>
                <c:pt idx="3">
                  <c:v>1152745</c:v>
                </c:pt>
                <c:pt idx="4">
                  <c:v>975080</c:v>
                </c:pt>
                <c:pt idx="5">
                  <c:v>875075</c:v>
                </c:pt>
              </c:numCache>
            </c:numRef>
          </c:val>
          <c:extLst>
            <c:ext xmlns:c16="http://schemas.microsoft.com/office/drawing/2014/chart" uri="{C3380CC4-5D6E-409C-BE32-E72D297353CC}">
              <c16:uniqueId val="{00000000-9C23-488F-96AE-943CBA2C7E15}"/>
            </c:ext>
          </c:extLst>
        </c:ser>
        <c:dLbls>
          <c:showLegendKey val="0"/>
          <c:showVal val="0"/>
          <c:showCatName val="0"/>
          <c:showSerName val="0"/>
          <c:showPercent val="0"/>
          <c:showBubbleSize val="0"/>
        </c:dLbls>
        <c:gapWidth val="219"/>
        <c:overlap val="-27"/>
        <c:axId val="124880287"/>
        <c:axId val="161067247"/>
      </c:barChart>
      <c:catAx>
        <c:axId val="12488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67247"/>
        <c:crosses val="autoZero"/>
        <c:auto val="1"/>
        <c:lblAlgn val="ctr"/>
        <c:lblOffset val="100"/>
        <c:noMultiLvlLbl val="0"/>
      </c:catAx>
      <c:valAx>
        <c:axId val="1610672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80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[PRACTISE 1.xlsx]Analysis 5!region</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'Analysis 5'!$B$26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5'!$A$27:$A$30</c:f>
              <c:strCache>
                <c:ptCount val="4"/>
                <c:pt idx="0">
                  <c:v>Bangalore</c:v>
                </c:pt>
                <c:pt idx="1">
                  <c:v>Chennai</c:v>
                </c:pt>
                <c:pt idx="2">
                  <c:v>Delhi</c:v>
                </c:pt>
                <c:pt idx="3">
                  <c:v>Mumbai</c:v>
                </c:pt>
              </c:strCache>
            </c:strRef>
          </c:cat>
          <c:val>
            <c:numRef>
              <c:f>'Analysis 5'!$B$27:$B$30</c:f>
              <c:numCache>
                <c:formatCode>0.00%</c:formatCode>
                <c:ptCount val="4"/>
                <c:pt idx="0">
                  <c:v>0.21122540075731158</c:v>
                </c:pt>
                <c:pt idx="1">
                  <c:v>0.2721134549411181</c:v>
                </c:pt>
                <c:pt idx="2">
                  <c:v>0.17606915640929552</c:v>
                </c:pt>
                <c:pt idx="3">
                  <c:v>0.34059198789227479</c:v>
                </c:pt>
              </c:numCache>
            </c:numRef>
          </c:val>
          <c:extLst>
            <c:ext xmlns:c16="http://schemas.microsoft.com/office/drawing/2014/chart" uri="{C3380CC4-5D6E-409C-BE32-E72D297353CC}">
              <c16:uniqueId val="{00000000-DF8B-4988-B51F-727AB78DFF6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[PRACTISE 1.xlsx]Analysis 4!salesovertime</c:name>
    <c:fmtId val="8"/>
  </c:pivotSource>
  <c:chart>
    <c:title>
      <c:tx>
        <c:rich>
          <a:bodyPr rot="0" spcFirstLastPara="1" vertOverflow="ellipsis" vert="horz" wrap="square" anchor="ctr" anchorCtr="1"/>
          <a:lstStyle/>
          <a:p>
            <a:pPr>
              <a:defRPr sz="1500" b="1" i="0" u="none" strike="noStrike" kern="1200" cap="all" spc="100" normalizeH="0" baseline="0">
                <a:solidFill>
                  <a:schemeClr val="dk1"/>
                </a:solidFill>
                <a:latin typeface="+mn-lt"/>
                <a:ea typeface="+mn-ea"/>
                <a:cs typeface="+mn-cs"/>
              </a:defRPr>
            </a:pPr>
            <a:r>
              <a:rPr lang="en-IN"/>
              <a:t>Sales</a:t>
            </a:r>
            <a:r>
              <a:rPr lang="en-IN" baseline="0"/>
              <a:t> over time</a:t>
            </a:r>
            <a:endParaRPr lang="en-IN"/>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dk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4'!$B$15</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'Analysis 4'!$A$16:$A$46</c:f>
              <c:strCache>
                <c:ptCount val="30"/>
                <c:pt idx="0">
                  <c:v>01-09-2026</c:v>
                </c:pt>
                <c:pt idx="1">
                  <c:v>02-09-2026</c:v>
                </c:pt>
                <c:pt idx="2">
                  <c:v>03-09-2026</c:v>
                </c:pt>
                <c:pt idx="3">
                  <c:v>04-09-2026</c:v>
                </c:pt>
                <c:pt idx="4">
                  <c:v>05-09-2026</c:v>
                </c:pt>
                <c:pt idx="5">
                  <c:v>06-09-2026</c:v>
                </c:pt>
                <c:pt idx="6">
                  <c:v>07-09-2026</c:v>
                </c:pt>
                <c:pt idx="7">
                  <c:v>08-09-2026</c:v>
                </c:pt>
                <c:pt idx="8">
                  <c:v>09-09-2026</c:v>
                </c:pt>
                <c:pt idx="9">
                  <c:v>10-09-2026</c:v>
                </c:pt>
                <c:pt idx="10">
                  <c:v>11-09-2026</c:v>
                </c:pt>
                <c:pt idx="11">
                  <c:v>12-09-2026</c:v>
                </c:pt>
                <c:pt idx="12">
                  <c:v>13-09-2026</c:v>
                </c:pt>
                <c:pt idx="13">
                  <c:v>14-09-2026</c:v>
                </c:pt>
                <c:pt idx="14">
                  <c:v>15-09-2026</c:v>
                </c:pt>
                <c:pt idx="15">
                  <c:v>16-09-2026</c:v>
                </c:pt>
                <c:pt idx="16">
                  <c:v>17-09-2026</c:v>
                </c:pt>
                <c:pt idx="17">
                  <c:v>18-09-2026</c:v>
                </c:pt>
                <c:pt idx="18">
                  <c:v>19-09-2026</c:v>
                </c:pt>
                <c:pt idx="19">
                  <c:v>20-09-2026</c:v>
                </c:pt>
                <c:pt idx="20">
                  <c:v>21-09-2026</c:v>
                </c:pt>
                <c:pt idx="21">
                  <c:v>22-09-2026</c:v>
                </c:pt>
                <c:pt idx="22">
                  <c:v>23-09-2026</c:v>
                </c:pt>
                <c:pt idx="23">
                  <c:v>24-09-2026</c:v>
                </c:pt>
                <c:pt idx="24">
                  <c:v>25-09-2026</c:v>
                </c:pt>
                <c:pt idx="25">
                  <c:v>26-09-2026</c:v>
                </c:pt>
                <c:pt idx="26">
                  <c:v>27-09-2026</c:v>
                </c:pt>
                <c:pt idx="27">
                  <c:v>28-09-2026</c:v>
                </c:pt>
                <c:pt idx="28">
                  <c:v>29-09-2026</c:v>
                </c:pt>
                <c:pt idx="29">
                  <c:v>30-09-2026</c:v>
                </c:pt>
              </c:strCache>
            </c:strRef>
          </c:cat>
          <c:val>
            <c:numRef>
              <c:f>'Analysis 4'!$B$16:$B$46</c:f>
              <c:numCache>
                <c:formatCode>General</c:formatCode>
                <c:ptCount val="30"/>
                <c:pt idx="0">
                  <c:v>62435</c:v>
                </c:pt>
                <c:pt idx="1">
                  <c:v>446800</c:v>
                </c:pt>
                <c:pt idx="2">
                  <c:v>135095</c:v>
                </c:pt>
                <c:pt idx="3">
                  <c:v>179025</c:v>
                </c:pt>
                <c:pt idx="4">
                  <c:v>100800</c:v>
                </c:pt>
                <c:pt idx="5">
                  <c:v>313825</c:v>
                </c:pt>
                <c:pt idx="6">
                  <c:v>112050</c:v>
                </c:pt>
                <c:pt idx="7">
                  <c:v>160500</c:v>
                </c:pt>
                <c:pt idx="8">
                  <c:v>146775</c:v>
                </c:pt>
                <c:pt idx="9">
                  <c:v>251100</c:v>
                </c:pt>
                <c:pt idx="10">
                  <c:v>226975</c:v>
                </c:pt>
                <c:pt idx="11">
                  <c:v>12600</c:v>
                </c:pt>
                <c:pt idx="12">
                  <c:v>60500</c:v>
                </c:pt>
                <c:pt idx="13">
                  <c:v>380250</c:v>
                </c:pt>
                <c:pt idx="14">
                  <c:v>474850</c:v>
                </c:pt>
                <c:pt idx="15">
                  <c:v>621170</c:v>
                </c:pt>
                <c:pt idx="16">
                  <c:v>369140</c:v>
                </c:pt>
                <c:pt idx="17">
                  <c:v>69825</c:v>
                </c:pt>
                <c:pt idx="18">
                  <c:v>765350</c:v>
                </c:pt>
                <c:pt idx="19">
                  <c:v>179910</c:v>
                </c:pt>
                <c:pt idx="20">
                  <c:v>272400</c:v>
                </c:pt>
                <c:pt idx="21">
                  <c:v>77500</c:v>
                </c:pt>
                <c:pt idx="22">
                  <c:v>27000</c:v>
                </c:pt>
                <c:pt idx="23">
                  <c:v>80350</c:v>
                </c:pt>
                <c:pt idx="24">
                  <c:v>212815</c:v>
                </c:pt>
                <c:pt idx="25">
                  <c:v>193000</c:v>
                </c:pt>
                <c:pt idx="26">
                  <c:v>144700</c:v>
                </c:pt>
                <c:pt idx="27">
                  <c:v>58300</c:v>
                </c:pt>
                <c:pt idx="28">
                  <c:v>111500</c:v>
                </c:pt>
                <c:pt idx="29">
                  <c:v>664750</c:v>
                </c:pt>
              </c:numCache>
            </c:numRef>
          </c:val>
          <c:smooth val="0"/>
          <c:extLst>
            <c:ext xmlns:c16="http://schemas.microsoft.com/office/drawing/2014/chart" uri="{C3380CC4-5D6E-409C-BE32-E72D297353CC}">
              <c16:uniqueId val="{00000000-F831-45D8-B962-7A7E05A39218}"/>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24378591"/>
        <c:axId val="161136847"/>
      </c:lineChart>
      <c:catAx>
        <c:axId val="124378591"/>
        <c:scaling>
          <c:orientation val="minMax"/>
        </c:scaling>
        <c:delete val="0"/>
        <c:axPos val="b"/>
        <c:numFmt formatCode="General" sourceLinked="1"/>
        <c:majorTickMark val="out"/>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dk1"/>
                </a:solidFill>
                <a:latin typeface="+mn-lt"/>
                <a:ea typeface="+mn-ea"/>
                <a:cs typeface="+mn-cs"/>
              </a:defRPr>
            </a:pPr>
            <a:endParaRPr lang="en-US"/>
          </a:p>
        </c:txPr>
        <c:crossAx val="161136847"/>
        <c:crosses val="autoZero"/>
        <c:auto val="1"/>
        <c:lblAlgn val="ctr"/>
        <c:lblOffset val="100"/>
        <c:noMultiLvlLbl val="0"/>
      </c:catAx>
      <c:valAx>
        <c:axId val="16113684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4378591"/>
        <c:crosses val="autoZero"/>
        <c:crossBetween val="between"/>
      </c:valAx>
      <c:spPr>
        <a:solidFill>
          <a:schemeClr val="tx2">
            <a:lumMod val="50000"/>
            <a:lumOff val="5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lumOff val="50000"/>
      </a:schemeClr>
    </a:solidFill>
    <a:ln w="9525" cap="flat" cmpd="sng" algn="ctr">
      <a:solidFill>
        <a:schemeClr val="accent1"/>
      </a:solidFill>
      <a:round/>
    </a:ln>
    <a:effectLst/>
  </c:spPr>
  <c:txPr>
    <a:bodyPr/>
    <a:lstStyle/>
    <a:p>
      <a:pPr>
        <a:defRPr>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[PRACTISE 1.xlsx]Analysis 5!topemployees</c:name>
    <c:fmtId val="4"/>
  </c:pivotSource>
  <c:chart>
    <c:title>
      <c:tx>
        <c:rich>
          <a:bodyPr rot="0" spcFirstLastPara="1" vertOverflow="ellipsis" vert="horz" wrap="square" anchor="ctr" anchorCtr="1"/>
          <a:lstStyle/>
          <a:p>
            <a:pPr algn="ctr" rtl="0">
              <a:defRPr lang="en-IN" sz="1500" b="1" i="0" u="none" strike="noStrike" kern="1200" cap="all" spc="100" normalizeH="0" baseline="0">
                <a:solidFill>
                  <a:sysClr val="windowText" lastClr="000000"/>
                </a:solidFill>
                <a:latin typeface="+mn-lt"/>
                <a:ea typeface="+mn-ea"/>
                <a:cs typeface="+mn-cs"/>
              </a:defRPr>
            </a:pPr>
            <a:r>
              <a:rPr lang="en-IN" sz="1500" b="1" i="0" u="none" strike="noStrike" kern="1200" cap="all" spc="100" normalizeH="0" baseline="0">
                <a:solidFill>
                  <a:sysClr val="windowText" lastClr="000000"/>
                </a:solidFill>
                <a:latin typeface="+mn-lt"/>
                <a:ea typeface="+mn-ea"/>
                <a:cs typeface="+mn-cs"/>
              </a:rPr>
              <a:t>Top Employees by Sales</a:t>
            </a:r>
          </a:p>
        </c:rich>
      </c:tx>
      <c:overlay val="0"/>
      <c:spPr>
        <a:noFill/>
        <a:ln>
          <a:noFill/>
        </a:ln>
        <a:effectLst/>
      </c:spPr>
      <c:txPr>
        <a:bodyPr rot="0" spcFirstLastPara="1" vertOverflow="ellipsis" vert="horz" wrap="square" anchor="ctr" anchorCtr="1"/>
        <a:lstStyle/>
        <a:p>
          <a:pPr algn="ctr" rtl="0">
            <a:defRPr lang="en-IN" sz="1500" b="1" i="0" u="none" strike="noStrike" kern="1200" cap="all" spc="100" normalizeH="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5'!$B$3</c:f>
              <c:strCache>
                <c:ptCount val="1"/>
                <c:pt idx="0">
                  <c:v>Total</c:v>
                </c:pt>
              </c:strCache>
            </c:strRef>
          </c:tx>
          <c:spPr>
            <a:solidFill>
              <a:schemeClr val="accent1"/>
            </a:solidFill>
            <a:ln>
              <a:noFill/>
            </a:ln>
            <a:effectLst/>
          </c:spPr>
          <c:invertIfNegative val="0"/>
          <c:cat>
            <c:strRef>
              <c:f>'Analysis 5'!$A$4:$A$10</c:f>
              <c:strCache>
                <c:ptCount val="6"/>
                <c:pt idx="0">
                  <c:v>Divya Singh</c:v>
                </c:pt>
                <c:pt idx="1">
                  <c:v>Ravi Menon</c:v>
                </c:pt>
                <c:pt idx="2">
                  <c:v>Neha Patel</c:v>
                </c:pt>
                <c:pt idx="3">
                  <c:v>Priya Sharma</c:v>
                </c:pt>
                <c:pt idx="4">
                  <c:v>Arun Kumar</c:v>
                </c:pt>
                <c:pt idx="5">
                  <c:v>Kumar Raj</c:v>
                </c:pt>
              </c:strCache>
            </c:strRef>
          </c:cat>
          <c:val>
            <c:numRef>
              <c:f>'Analysis 5'!$B$4:$B$10</c:f>
              <c:numCache>
                <c:formatCode>General</c:formatCode>
                <c:ptCount val="6"/>
                <c:pt idx="0">
                  <c:v>1459840</c:v>
                </c:pt>
                <c:pt idx="1">
                  <c:v>1258865</c:v>
                </c:pt>
                <c:pt idx="2">
                  <c:v>1189685</c:v>
                </c:pt>
                <c:pt idx="3">
                  <c:v>1152745</c:v>
                </c:pt>
                <c:pt idx="4">
                  <c:v>975080</c:v>
                </c:pt>
                <c:pt idx="5">
                  <c:v>875075</c:v>
                </c:pt>
              </c:numCache>
            </c:numRef>
          </c:val>
          <c:extLst>
            <c:ext xmlns:c16="http://schemas.microsoft.com/office/drawing/2014/chart" uri="{C3380CC4-5D6E-409C-BE32-E72D297353CC}">
              <c16:uniqueId val="{00000000-BC9D-46E7-8624-005D55F5206F}"/>
            </c:ext>
          </c:extLst>
        </c:ser>
        <c:dLbls>
          <c:showLegendKey val="0"/>
          <c:showVal val="0"/>
          <c:showCatName val="0"/>
          <c:showSerName val="0"/>
          <c:showPercent val="0"/>
          <c:showBubbleSize val="0"/>
        </c:dLbls>
        <c:gapWidth val="219"/>
        <c:overlap val="-27"/>
        <c:axId val="124880287"/>
        <c:axId val="161067247"/>
      </c:barChart>
      <c:catAx>
        <c:axId val="12488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67247"/>
        <c:crosses val="autoZero"/>
        <c:auto val="1"/>
        <c:lblAlgn val="ctr"/>
        <c:lblOffset val="100"/>
        <c:noMultiLvlLbl val="0"/>
      </c:catAx>
      <c:valAx>
        <c:axId val="1610672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80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lumOff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[PRACTISE 1.xlsx]Analysis 5!region</c:name>
    <c:fmtId val="9"/>
  </c:pivotSource>
  <c:chart>
    <c:title>
      <c:tx>
        <c:rich>
          <a:bodyPr rot="0" spcFirstLastPara="1" vertOverflow="ellipsis" vert="horz" wrap="square" anchor="ctr" anchorCtr="1"/>
          <a:lstStyle/>
          <a:p>
            <a:pPr algn="ctr" rtl="0">
              <a:defRPr lang="en-IN" sz="1500" b="1" i="0" u="none" strike="noStrike" kern="1200" cap="all" spc="100" normalizeH="0" baseline="0">
                <a:solidFill>
                  <a:sysClr val="windowText" lastClr="000000"/>
                </a:solidFill>
                <a:latin typeface="+mn-lt"/>
                <a:ea typeface="+mn-ea"/>
                <a:cs typeface="+mn-cs"/>
              </a:defRPr>
            </a:pPr>
            <a:r>
              <a:rPr lang="en-IN" sz="1500" b="1" i="0" u="none" strike="noStrike" kern="1200" cap="all" spc="100" normalizeH="0" baseline="0">
                <a:solidFill>
                  <a:sysClr val="windowText" lastClr="000000"/>
                </a:solidFill>
                <a:latin typeface="+mn-lt"/>
                <a:ea typeface="+mn-ea"/>
                <a:cs typeface="+mn-cs"/>
              </a:rPr>
              <a:t>Sales by region</a:t>
            </a:r>
          </a:p>
          <a:p>
            <a:pPr algn="ctr" rtl="0">
              <a:defRPr lang="en-IN" sz="1500" b="1" i="0" u="none" strike="noStrike" kern="1200" cap="all" spc="100" normalizeH="0" baseline="0">
                <a:solidFill>
                  <a:sysClr val="windowText" lastClr="000000"/>
                </a:solidFill>
                <a:latin typeface="+mn-lt"/>
                <a:ea typeface="+mn-ea"/>
                <a:cs typeface="+mn-cs"/>
              </a:defRPr>
            </a:pPr>
            <a:endParaRPr lang="en-IN" sz="1500" b="1" i="0" u="none" strike="noStrike" kern="1200" cap="all" spc="100" normalizeH="0" baseline="0">
              <a:solidFill>
                <a:sysClr val="windowText" lastClr="000000"/>
              </a:solidFill>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IN" sz="1500" b="1" i="0" u="none" strike="noStrike" kern="1200" cap="all" spc="100" normalizeH="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'Analysis 5'!$B$26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19-4778-ABE6-C72C20C207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19-4778-ABE6-C72C20C2070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C19-4778-ABE6-C72C20C2070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C19-4778-ABE6-C72C20C2070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5'!$A$27:$A$30</c:f>
              <c:strCache>
                <c:ptCount val="4"/>
                <c:pt idx="0">
                  <c:v>Bangalore</c:v>
                </c:pt>
                <c:pt idx="1">
                  <c:v>Chennai</c:v>
                </c:pt>
                <c:pt idx="2">
                  <c:v>Delhi</c:v>
                </c:pt>
                <c:pt idx="3">
                  <c:v>Mumbai</c:v>
                </c:pt>
              </c:strCache>
            </c:strRef>
          </c:cat>
          <c:val>
            <c:numRef>
              <c:f>'Analysis 5'!$B$27:$B$30</c:f>
              <c:numCache>
                <c:formatCode>0.00%</c:formatCode>
                <c:ptCount val="4"/>
                <c:pt idx="0">
                  <c:v>0.21122540075731158</c:v>
                </c:pt>
                <c:pt idx="1">
                  <c:v>0.2721134549411181</c:v>
                </c:pt>
                <c:pt idx="2">
                  <c:v>0.17606915640929552</c:v>
                </c:pt>
                <c:pt idx="3">
                  <c:v>0.34059198789227479</c:v>
                </c:pt>
              </c:numCache>
            </c:numRef>
          </c:val>
          <c:extLst>
            <c:ext xmlns:c16="http://schemas.microsoft.com/office/drawing/2014/chart" uri="{C3380CC4-5D6E-409C-BE32-E72D297353CC}">
              <c16:uniqueId val="{00000008-2C19-4778-ABE6-C72C20C2070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lumOff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4</xdr:col>
      <xdr:colOff>701040</xdr:colOff>
      <xdr:row>84</xdr:row>
      <xdr:rowOff>129540</xdr:rowOff>
    </xdr:from>
    <xdr:to>
      <xdr:col>7</xdr:col>
      <xdr:colOff>586740</xdr:colOff>
      <xdr:row>98</xdr:row>
      <xdr:rowOff>150495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90FEEF0E-6B3E-B385-2555-4E89B0BAE58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343400" y="155371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15240</xdr:colOff>
      <xdr:row>36</xdr:row>
      <xdr:rowOff>0</xdr:rowOff>
    </xdr:from>
    <xdr:to>
      <xdr:col>17</xdr:col>
      <xdr:colOff>15240</xdr:colOff>
      <xdr:row>49</xdr:row>
      <xdr:rowOff>158115</xdr:rowOff>
    </xdr:to>
    <mc:AlternateContent xmlns:mc="http://schemas.openxmlformats.org/markup-compatibility/2006" xmlns:a14="http://schemas.microsoft.com/office/drawing/2010/main">
      <mc:Choice Requires="a14">
        <xdr:graphicFrame macro="">
          <xdr:nvGraphicFramePr>
            <xdr:cNvPr id="3" name="Payment_Mode">
              <a:extLst>
                <a:ext uri="{FF2B5EF4-FFF2-40B4-BE49-F238E27FC236}">
                  <a16:creationId xmlns:a16="http://schemas.microsoft.com/office/drawing/2014/main" id="{65EA3AA1-DDB3-56F4-09F4-DE708FC1BAEA}"/>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9867900" y="65836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518160</xdr:colOff>
      <xdr:row>56</xdr:row>
      <xdr:rowOff>7620</xdr:rowOff>
    </xdr:from>
    <xdr:to>
      <xdr:col>13</xdr:col>
      <xdr:colOff>518160</xdr:colOff>
      <xdr:row>70</xdr:row>
      <xdr:rowOff>28575</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FF75EB9D-11A6-E8F0-4A3F-37FA44F9D0E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932420" y="102946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381000</xdr:colOff>
      <xdr:row>22</xdr:row>
      <xdr:rowOff>83820</xdr:rowOff>
    </xdr:from>
    <xdr:to>
      <xdr:col>14</xdr:col>
      <xdr:colOff>510540</xdr:colOff>
      <xdr:row>33</xdr:row>
      <xdr:rowOff>7620</xdr:rowOff>
    </xdr:to>
    <xdr:graphicFrame macro="">
      <xdr:nvGraphicFramePr>
        <xdr:cNvPr id="5" name="Chart 4">
          <a:extLst>
            <a:ext uri="{FF2B5EF4-FFF2-40B4-BE49-F238E27FC236}">
              <a16:creationId xmlns:a16="http://schemas.microsoft.com/office/drawing/2014/main" id="{EB2E777A-CF70-79C7-9EB4-6D1B9DCA72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464820</xdr:colOff>
      <xdr:row>24</xdr:row>
      <xdr:rowOff>91440</xdr:rowOff>
    </xdr:from>
    <xdr:to>
      <xdr:col>7</xdr:col>
      <xdr:colOff>464820</xdr:colOff>
      <xdr:row>38</xdr:row>
      <xdr:rowOff>112395</xdr:rowOff>
    </xdr:to>
    <mc:AlternateContent xmlns:mc="http://schemas.openxmlformats.org/markup-compatibility/2006" xmlns:a14="http://schemas.microsoft.com/office/drawing/2010/main">
      <mc:Choice Requires="a14">
        <xdr:graphicFrame macro="">
          <xdr:nvGraphicFramePr>
            <xdr:cNvPr id="2" name="Region 2">
              <a:extLst>
                <a:ext uri="{FF2B5EF4-FFF2-40B4-BE49-F238E27FC236}">
                  <a16:creationId xmlns:a16="http://schemas.microsoft.com/office/drawing/2014/main" id="{9FFBF879-9D2E-FCEA-99C6-5A6E2F52E294}"/>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5410200" y="44805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929640</xdr:colOff>
      <xdr:row>15</xdr:row>
      <xdr:rowOff>0</xdr:rowOff>
    </xdr:from>
    <xdr:to>
      <xdr:col>9</xdr:col>
      <xdr:colOff>0</xdr:colOff>
      <xdr:row>30</xdr:row>
      <xdr:rowOff>0</xdr:rowOff>
    </xdr:to>
    <xdr:graphicFrame macro="">
      <xdr:nvGraphicFramePr>
        <xdr:cNvPr id="3" name="Chart 2">
          <a:extLst>
            <a:ext uri="{FF2B5EF4-FFF2-40B4-BE49-F238E27FC236}">
              <a16:creationId xmlns:a16="http://schemas.microsoft.com/office/drawing/2014/main" id="{A13AFD3B-62DC-0C44-A0AC-1EE8BC1C97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365760</xdr:colOff>
      <xdr:row>6</xdr:row>
      <xdr:rowOff>45720</xdr:rowOff>
    </xdr:from>
    <xdr:to>
      <xdr:col>11</xdr:col>
      <xdr:colOff>60960</xdr:colOff>
      <xdr:row>21</xdr:row>
      <xdr:rowOff>45720</xdr:rowOff>
    </xdr:to>
    <xdr:graphicFrame macro="">
      <xdr:nvGraphicFramePr>
        <xdr:cNvPr id="2" name="Chart 1">
          <a:extLst>
            <a:ext uri="{FF2B5EF4-FFF2-40B4-BE49-F238E27FC236}">
              <a16:creationId xmlns:a16="http://schemas.microsoft.com/office/drawing/2014/main" id="{F44AA332-AAB6-CC2B-D1B4-6462E7DF51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365760</xdr:colOff>
      <xdr:row>18</xdr:row>
      <xdr:rowOff>114300</xdr:rowOff>
    </xdr:from>
    <xdr:to>
      <xdr:col>11</xdr:col>
      <xdr:colOff>60960</xdr:colOff>
      <xdr:row>33</xdr:row>
      <xdr:rowOff>114300</xdr:rowOff>
    </xdr:to>
    <xdr:graphicFrame macro="">
      <xdr:nvGraphicFramePr>
        <xdr:cNvPr id="3" name="Chart 2">
          <a:extLst>
            <a:ext uri="{FF2B5EF4-FFF2-40B4-BE49-F238E27FC236}">
              <a16:creationId xmlns:a16="http://schemas.microsoft.com/office/drawing/2014/main" id="{5C585AC0-4EE6-FD8B-6EF1-1B0A700D96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296898</xdr:colOff>
      <xdr:row>54</xdr:row>
      <xdr:rowOff>30480</xdr:rowOff>
    </xdr:from>
    <xdr:to>
      <xdr:col>6</xdr:col>
      <xdr:colOff>308187</xdr:colOff>
      <xdr:row>62</xdr:row>
      <xdr:rowOff>173848</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0B8ADCD6-6EC3-498B-A5BE-8E89A416EB4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735298" y="9944100"/>
              <a:ext cx="1230489" cy="16064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609318</xdr:colOff>
      <xdr:row>38</xdr:row>
      <xdr:rowOff>46567</xdr:rowOff>
    </xdr:from>
    <xdr:to>
      <xdr:col>16</xdr:col>
      <xdr:colOff>609318</xdr:colOff>
      <xdr:row>52</xdr:row>
      <xdr:rowOff>99131</xdr:rowOff>
    </xdr:to>
    <mc:AlternateContent xmlns:mc="http://schemas.openxmlformats.org/markup-compatibility/2006" xmlns:a14="http://schemas.microsoft.com/office/drawing/2010/main">
      <mc:Choice Requires="a14">
        <xdr:graphicFrame macro="">
          <xdr:nvGraphicFramePr>
            <xdr:cNvPr id="3" name="Employee_Name">
              <a:extLst>
                <a:ext uri="{FF2B5EF4-FFF2-40B4-BE49-F238E27FC236}">
                  <a16:creationId xmlns:a16="http://schemas.microsoft.com/office/drawing/2014/main" id="{B15376F9-6F31-49BC-8B55-261C42D5B25E}"/>
                </a:ext>
              </a:extLst>
            </xdr:cNvPr>
            <xdr:cNvGraphicFramePr/>
          </xdr:nvGraphicFramePr>
          <xdr:xfrm>
            <a:off x="0" y="0"/>
            <a:ext cx="0" cy="0"/>
          </xdr:xfrm>
          <a:graphic>
            <a:graphicData uri="http://schemas.microsoft.com/office/drawing/2010/slicer">
              <sle:slicer xmlns:sle="http://schemas.microsoft.com/office/drawing/2010/slicer" name="Employee_Name"/>
            </a:graphicData>
          </a:graphic>
        </xdr:graphicFrame>
      </mc:Choice>
      <mc:Fallback xmlns="">
        <xdr:sp macro="" textlink="">
          <xdr:nvSpPr>
            <xdr:cNvPr id="0" name=""/>
            <xdr:cNvSpPr>
              <a:spLocks noTextEdit="1"/>
            </xdr:cNvSpPr>
          </xdr:nvSpPr>
          <xdr:spPr>
            <a:xfrm>
              <a:off x="8534118" y="7034107"/>
              <a:ext cx="1828800" cy="26128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520700</xdr:colOff>
      <xdr:row>49</xdr:row>
      <xdr:rowOff>43462</xdr:rowOff>
    </xdr:from>
    <xdr:to>
      <xdr:col>13</xdr:col>
      <xdr:colOff>200660</xdr:colOff>
      <xdr:row>56</xdr:row>
      <xdr:rowOff>150706</xdr:rowOff>
    </xdr:to>
    <mc:AlternateContent xmlns:mc="http://schemas.openxmlformats.org/markup-compatibility/2006" xmlns:tsle="http://schemas.microsoft.com/office/drawing/2012/timeslicer">
      <mc:Choice Requires="tsle">
        <xdr:graphicFrame macro="">
          <xdr:nvGraphicFramePr>
            <xdr:cNvPr id="4" name="Order_Date">
              <a:extLst>
                <a:ext uri="{FF2B5EF4-FFF2-40B4-BE49-F238E27FC236}">
                  <a16:creationId xmlns:a16="http://schemas.microsoft.com/office/drawing/2014/main" id="{F16C0544-2FA7-4180-846F-1823257B5BED}"/>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4787900" y="9042682"/>
              <a:ext cx="3337560" cy="138740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304800</xdr:colOff>
      <xdr:row>5</xdr:row>
      <xdr:rowOff>30480</xdr:rowOff>
    </xdr:from>
    <xdr:to>
      <xdr:col>3</xdr:col>
      <xdr:colOff>236220</xdr:colOff>
      <xdr:row>10</xdr:row>
      <xdr:rowOff>114300</xdr:rowOff>
    </xdr:to>
    <xdr:sp macro="" textlink="'Analysis 4'!A8">
      <xdr:nvSpPr>
        <xdr:cNvPr id="5" name="TextBox 4">
          <a:extLst>
            <a:ext uri="{FF2B5EF4-FFF2-40B4-BE49-F238E27FC236}">
              <a16:creationId xmlns:a16="http://schemas.microsoft.com/office/drawing/2014/main" id="{F09177AA-4876-A5EF-23BC-F0FE2D7B6470}"/>
            </a:ext>
          </a:extLst>
        </xdr:cNvPr>
        <xdr:cNvSpPr txBox="1"/>
      </xdr:nvSpPr>
      <xdr:spPr>
        <a:xfrm>
          <a:off x="304800" y="982980"/>
          <a:ext cx="1760220" cy="998220"/>
        </a:xfrm>
        <a:prstGeom prst="rect">
          <a:avLst/>
        </a:prstGeom>
        <a:solidFill>
          <a:schemeClr val="accent6">
            <a:lumMod val="75000"/>
          </a:schemeClr>
        </a:solidFill>
        <a:ln w="9525" cmpd="sng">
          <a:solidFill>
            <a:schemeClr val="accent3">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B4B16E2-E35A-4D72-AAED-20F8E9F7E56E}" type="TxLink">
            <a:rPr lang="en-US" sz="2000" b="0" i="0" u="none" strike="noStrike">
              <a:ln>
                <a:noFill/>
              </a:ln>
              <a:solidFill>
                <a:schemeClr val="bg2"/>
              </a:solidFill>
              <a:latin typeface="Aptos Narrow"/>
              <a:ea typeface="+mn-ea"/>
              <a:cs typeface="+mn-cs"/>
            </a:rPr>
            <a:pPr marL="0" indent="0" algn="ctr"/>
            <a:t>₹ 69,11,290</a:t>
          </a:fld>
          <a:endParaRPr lang="en-IN" sz="2000" b="0" i="0" u="none" strike="noStrike">
            <a:ln>
              <a:noFill/>
            </a:ln>
            <a:solidFill>
              <a:schemeClr val="bg2"/>
            </a:solidFill>
            <a:latin typeface="Aptos Narrow"/>
            <a:ea typeface="+mn-ea"/>
            <a:cs typeface="+mn-cs"/>
          </a:endParaRPr>
        </a:p>
      </xdr:txBody>
    </xdr:sp>
    <xdr:clientData/>
  </xdr:twoCellAnchor>
  <xdr:oneCellAnchor>
    <xdr:from>
      <xdr:col>3</xdr:col>
      <xdr:colOff>480060</xdr:colOff>
      <xdr:row>24</xdr:row>
      <xdr:rowOff>129540</xdr:rowOff>
    </xdr:from>
    <xdr:ext cx="184731" cy="264560"/>
    <xdr:sp macro="" textlink="">
      <xdr:nvSpPr>
        <xdr:cNvPr id="6" name="TextBox 5">
          <a:extLst>
            <a:ext uri="{FF2B5EF4-FFF2-40B4-BE49-F238E27FC236}">
              <a16:creationId xmlns:a16="http://schemas.microsoft.com/office/drawing/2014/main" id="{8EFCCBA1-53A1-2FC8-B180-FD3D4BA3CA9C}"/>
            </a:ext>
          </a:extLst>
        </xdr:cNvPr>
        <xdr:cNvSpPr txBox="1"/>
      </xdr:nvSpPr>
      <xdr:spPr>
        <a:xfrm rot="10154102">
          <a:off x="2308860" y="45567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3</xdr:col>
      <xdr:colOff>575310</xdr:colOff>
      <xdr:row>5</xdr:row>
      <xdr:rowOff>30480</xdr:rowOff>
    </xdr:from>
    <xdr:to>
      <xdr:col>6</xdr:col>
      <xdr:colOff>506730</xdr:colOff>
      <xdr:row>10</xdr:row>
      <xdr:rowOff>114300</xdr:rowOff>
    </xdr:to>
    <xdr:sp macro="" textlink="'Analysis 4'!B8">
      <xdr:nvSpPr>
        <xdr:cNvPr id="7" name="TextBox 6">
          <a:extLst>
            <a:ext uri="{FF2B5EF4-FFF2-40B4-BE49-F238E27FC236}">
              <a16:creationId xmlns:a16="http://schemas.microsoft.com/office/drawing/2014/main" id="{F7C1E54F-F402-4DF4-B960-113AB9A1561B}"/>
            </a:ext>
          </a:extLst>
        </xdr:cNvPr>
        <xdr:cNvSpPr txBox="1"/>
      </xdr:nvSpPr>
      <xdr:spPr>
        <a:xfrm>
          <a:off x="2404110" y="982980"/>
          <a:ext cx="1760220" cy="998220"/>
        </a:xfrm>
        <a:prstGeom prst="rect">
          <a:avLst/>
        </a:prstGeom>
        <a:solidFill>
          <a:schemeClr val="accent6">
            <a:lumMod val="75000"/>
          </a:schemeClr>
        </a:solidFill>
        <a:ln w="9525" cmpd="sng">
          <a:solidFill>
            <a:schemeClr val="accent3">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163A0A0-C2E1-4779-B99B-AB8CE994CE27}" type="TxLink">
            <a:rPr lang="en-US" sz="2000" b="0" i="0" u="none" strike="noStrike">
              <a:ln>
                <a:noFill/>
              </a:ln>
              <a:solidFill>
                <a:schemeClr val="bg2"/>
              </a:solidFill>
              <a:latin typeface="Aptos Narrow"/>
              <a:ea typeface="+mn-ea"/>
              <a:cs typeface="+mn-cs"/>
            </a:rPr>
            <a:pPr marL="0" indent="0" algn="ctr"/>
            <a:t>149</a:t>
          </a:fld>
          <a:endParaRPr lang="en-IN" sz="2000" b="0" i="0" u="none" strike="noStrike">
            <a:ln>
              <a:noFill/>
            </a:ln>
            <a:solidFill>
              <a:schemeClr val="bg2"/>
            </a:solidFill>
            <a:latin typeface="Aptos Narrow"/>
            <a:ea typeface="+mn-ea"/>
            <a:cs typeface="+mn-cs"/>
          </a:endParaRPr>
        </a:p>
      </xdr:txBody>
    </xdr:sp>
    <xdr:clientData/>
  </xdr:twoCellAnchor>
  <xdr:twoCellAnchor>
    <xdr:from>
      <xdr:col>7</xdr:col>
      <xdr:colOff>236220</xdr:colOff>
      <xdr:row>5</xdr:row>
      <xdr:rowOff>45720</xdr:rowOff>
    </xdr:from>
    <xdr:to>
      <xdr:col>10</xdr:col>
      <xdr:colOff>167640</xdr:colOff>
      <xdr:row>10</xdr:row>
      <xdr:rowOff>129540</xdr:rowOff>
    </xdr:to>
    <xdr:sp macro="" textlink="'Analysis 4'!C8">
      <xdr:nvSpPr>
        <xdr:cNvPr id="8" name="TextBox 7">
          <a:extLst>
            <a:ext uri="{FF2B5EF4-FFF2-40B4-BE49-F238E27FC236}">
              <a16:creationId xmlns:a16="http://schemas.microsoft.com/office/drawing/2014/main" id="{18387322-8C2B-4712-9C19-C682A0F73A60}"/>
            </a:ext>
          </a:extLst>
        </xdr:cNvPr>
        <xdr:cNvSpPr txBox="1"/>
      </xdr:nvSpPr>
      <xdr:spPr>
        <a:xfrm>
          <a:off x="4503420" y="998220"/>
          <a:ext cx="1760220" cy="998220"/>
        </a:xfrm>
        <a:prstGeom prst="rect">
          <a:avLst/>
        </a:prstGeom>
        <a:solidFill>
          <a:schemeClr val="accent6">
            <a:lumMod val="75000"/>
          </a:schemeClr>
        </a:solidFill>
        <a:ln w="9525" cmpd="sng">
          <a:solidFill>
            <a:schemeClr val="accent3">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D6F851F-E9ED-4C44-839A-70DDD20F5FD4}" type="TxLink">
            <a:rPr lang="en-US" sz="2000" b="0" i="0" u="none" strike="noStrike">
              <a:ln>
                <a:noFill/>
              </a:ln>
              <a:solidFill>
                <a:schemeClr val="bg2"/>
              </a:solidFill>
              <a:latin typeface="Aptos Narrow"/>
              <a:ea typeface="+mn-ea"/>
              <a:cs typeface="+mn-cs"/>
            </a:rPr>
            <a:pPr marL="0" indent="0" algn="ctr"/>
            <a:t>₹ 46,384.5</a:t>
          </a:fld>
          <a:endParaRPr lang="en-IN" sz="2000" b="0" i="0" u="none" strike="noStrike">
            <a:ln>
              <a:noFill/>
            </a:ln>
            <a:solidFill>
              <a:schemeClr val="bg2"/>
            </a:solidFill>
            <a:latin typeface="Aptos Narrow"/>
            <a:ea typeface="+mn-ea"/>
            <a:cs typeface="+mn-cs"/>
          </a:endParaRPr>
        </a:p>
      </xdr:txBody>
    </xdr:sp>
    <xdr:clientData/>
  </xdr:twoCellAnchor>
  <xdr:twoCellAnchor>
    <xdr:from>
      <xdr:col>10</xdr:col>
      <xdr:colOff>506730</xdr:colOff>
      <xdr:row>5</xdr:row>
      <xdr:rowOff>60960</xdr:rowOff>
    </xdr:from>
    <xdr:to>
      <xdr:col>13</xdr:col>
      <xdr:colOff>438150</xdr:colOff>
      <xdr:row>10</xdr:row>
      <xdr:rowOff>144780</xdr:rowOff>
    </xdr:to>
    <xdr:sp macro="" textlink="'Analysis 4'!D8">
      <xdr:nvSpPr>
        <xdr:cNvPr id="9" name="TextBox 8">
          <a:extLst>
            <a:ext uri="{FF2B5EF4-FFF2-40B4-BE49-F238E27FC236}">
              <a16:creationId xmlns:a16="http://schemas.microsoft.com/office/drawing/2014/main" id="{1E7847E2-2A41-4600-95DE-41AAF87D4F3F}"/>
            </a:ext>
          </a:extLst>
        </xdr:cNvPr>
        <xdr:cNvSpPr txBox="1"/>
      </xdr:nvSpPr>
      <xdr:spPr>
        <a:xfrm>
          <a:off x="6602730" y="1013460"/>
          <a:ext cx="1760220" cy="998220"/>
        </a:xfrm>
        <a:prstGeom prst="rect">
          <a:avLst/>
        </a:prstGeom>
        <a:solidFill>
          <a:schemeClr val="accent6">
            <a:lumMod val="75000"/>
          </a:schemeClr>
        </a:solidFill>
        <a:ln w="9525" cmpd="sng">
          <a:solidFill>
            <a:schemeClr val="accent3">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813C343-5B95-49CD-A425-38274F02804E}" type="TxLink">
            <a:rPr lang="en-US" sz="2000" b="0" i="0" u="none" strike="noStrike">
              <a:ln>
                <a:noFill/>
              </a:ln>
              <a:solidFill>
                <a:schemeClr val="bg2"/>
              </a:solidFill>
              <a:latin typeface="Aptos Narrow"/>
              <a:ea typeface="+mn-ea"/>
              <a:cs typeface="+mn-cs"/>
            </a:rPr>
            <a:pPr marL="0" indent="0" algn="ctr"/>
            <a:t>153.58%</a:t>
          </a:fld>
          <a:endParaRPr lang="en-IN" sz="2000" b="0" i="0" u="none" strike="noStrike">
            <a:ln>
              <a:noFill/>
            </a:ln>
            <a:solidFill>
              <a:schemeClr val="bg2"/>
            </a:solidFill>
            <a:latin typeface="Aptos Narrow"/>
            <a:ea typeface="+mn-ea"/>
            <a:cs typeface="+mn-cs"/>
          </a:endParaRPr>
        </a:p>
      </xdr:txBody>
    </xdr:sp>
    <xdr:clientData/>
  </xdr:twoCellAnchor>
  <xdr:twoCellAnchor>
    <xdr:from>
      <xdr:col>14</xdr:col>
      <xdr:colOff>167640</xdr:colOff>
      <xdr:row>5</xdr:row>
      <xdr:rowOff>30480</xdr:rowOff>
    </xdr:from>
    <xdr:to>
      <xdr:col>17</xdr:col>
      <xdr:colOff>99060</xdr:colOff>
      <xdr:row>10</xdr:row>
      <xdr:rowOff>114300</xdr:rowOff>
    </xdr:to>
    <xdr:sp macro="" textlink="'Analysis 4'!E8">
      <xdr:nvSpPr>
        <xdr:cNvPr id="10" name="TextBox 9">
          <a:extLst>
            <a:ext uri="{FF2B5EF4-FFF2-40B4-BE49-F238E27FC236}">
              <a16:creationId xmlns:a16="http://schemas.microsoft.com/office/drawing/2014/main" id="{8C2B7FCF-1E4B-4C3A-AD26-B57DA9F74A9D}"/>
            </a:ext>
          </a:extLst>
        </xdr:cNvPr>
        <xdr:cNvSpPr txBox="1"/>
      </xdr:nvSpPr>
      <xdr:spPr>
        <a:xfrm>
          <a:off x="8754079" y="996919"/>
          <a:ext cx="1771371" cy="1013088"/>
        </a:xfrm>
        <a:prstGeom prst="rect">
          <a:avLst/>
        </a:prstGeom>
        <a:solidFill>
          <a:schemeClr val="accent6">
            <a:lumMod val="75000"/>
          </a:schemeClr>
        </a:solidFill>
        <a:ln w="9525" cmpd="sng">
          <a:solidFill>
            <a:schemeClr val="accent3">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C352882-AF9A-45F2-ABDE-B58A2D7831EB}" type="TxLink">
            <a:rPr lang="en-US" sz="2000" b="0" i="0" u="none" strike="noStrike">
              <a:ln>
                <a:noFill/>
              </a:ln>
              <a:solidFill>
                <a:schemeClr val="bg2"/>
              </a:solidFill>
              <a:latin typeface="Aptos Narrow"/>
              <a:ea typeface="+mn-ea"/>
              <a:cs typeface="+mn-cs"/>
            </a:rPr>
            <a:pPr marL="0" indent="0" algn="ctr"/>
            <a:t>₹ 24,11,290</a:t>
          </a:fld>
          <a:endParaRPr lang="en-IN" sz="2000" b="0" i="0" u="none" strike="noStrike">
            <a:ln>
              <a:noFill/>
            </a:ln>
            <a:solidFill>
              <a:schemeClr val="bg2"/>
            </a:solidFill>
            <a:latin typeface="Aptos Narrow"/>
            <a:ea typeface="+mn-ea"/>
            <a:cs typeface="+mn-cs"/>
          </a:endParaRPr>
        </a:p>
      </xdr:txBody>
    </xdr:sp>
    <xdr:clientData/>
  </xdr:twoCellAnchor>
  <xdr:twoCellAnchor>
    <xdr:from>
      <xdr:col>3</xdr:col>
      <xdr:colOff>575310</xdr:colOff>
      <xdr:row>5</xdr:row>
      <xdr:rowOff>30480</xdr:rowOff>
    </xdr:from>
    <xdr:to>
      <xdr:col>6</xdr:col>
      <xdr:colOff>19050</xdr:colOff>
      <xdr:row>6</xdr:row>
      <xdr:rowOff>99060</xdr:rowOff>
    </xdr:to>
    <xdr:sp macro="" textlink="">
      <xdr:nvSpPr>
        <xdr:cNvPr id="12" name="TextBox 11">
          <a:extLst>
            <a:ext uri="{FF2B5EF4-FFF2-40B4-BE49-F238E27FC236}">
              <a16:creationId xmlns:a16="http://schemas.microsoft.com/office/drawing/2014/main" id="{D3662420-FAD8-4E85-8777-3B4889272FC7}"/>
            </a:ext>
          </a:extLst>
        </xdr:cNvPr>
        <xdr:cNvSpPr txBox="1"/>
      </xdr:nvSpPr>
      <xdr:spPr>
        <a:xfrm>
          <a:off x="2404110" y="982980"/>
          <a:ext cx="1272540" cy="251460"/>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a:solidFill>
                <a:schemeClr val="bg2"/>
              </a:solidFill>
              <a:effectLst>
                <a:glow rad="63500">
                  <a:schemeClr val="accent1">
                    <a:satMod val="175000"/>
                    <a:alpha val="40000"/>
                  </a:schemeClr>
                </a:glow>
              </a:effectLst>
              <a:latin typeface="+mn-lt"/>
              <a:ea typeface="+mn-ea"/>
              <a:cs typeface="+mn-cs"/>
            </a:rPr>
            <a:t>🛒 Total Orders</a:t>
          </a:r>
        </a:p>
        <a:p>
          <a:pPr marL="0" indent="0"/>
          <a:endParaRPr lang="en-IN" sz="1100">
            <a:solidFill>
              <a:schemeClr val="bg2"/>
            </a:solidFill>
            <a:effectLst>
              <a:glow rad="63500">
                <a:schemeClr val="accent1">
                  <a:satMod val="175000"/>
                  <a:alpha val="40000"/>
                </a:schemeClr>
              </a:glow>
            </a:effectLst>
            <a:latin typeface="+mn-lt"/>
            <a:ea typeface="+mn-ea"/>
            <a:cs typeface="+mn-cs"/>
          </a:endParaRPr>
        </a:p>
        <a:p>
          <a:pPr marL="0" indent="0"/>
          <a:endParaRPr lang="en-IN" sz="1100">
            <a:solidFill>
              <a:schemeClr val="bg2"/>
            </a:solidFill>
            <a:effectLst>
              <a:glow rad="63500">
                <a:schemeClr val="accent1">
                  <a:satMod val="175000"/>
                  <a:alpha val="40000"/>
                </a:schemeClr>
              </a:glow>
            </a:effectLst>
            <a:latin typeface="+mn-lt"/>
            <a:ea typeface="+mn-ea"/>
            <a:cs typeface="+mn-cs"/>
          </a:endParaRPr>
        </a:p>
        <a:p>
          <a:pPr marL="0" indent="0"/>
          <a:endParaRPr lang="en-IN" sz="1100">
            <a:solidFill>
              <a:schemeClr val="bg2"/>
            </a:solidFill>
            <a:effectLst>
              <a:glow rad="63500">
                <a:schemeClr val="accent1">
                  <a:satMod val="175000"/>
                  <a:alpha val="40000"/>
                </a:schemeClr>
              </a:glow>
            </a:effectLst>
            <a:latin typeface="+mn-lt"/>
            <a:ea typeface="+mn-ea"/>
            <a:cs typeface="+mn-cs"/>
          </a:endParaRPr>
        </a:p>
        <a:p>
          <a:pPr marL="0" indent="0"/>
          <a:endParaRPr lang="en-IN" sz="1100">
            <a:solidFill>
              <a:schemeClr val="bg2"/>
            </a:solidFill>
            <a:effectLst>
              <a:glow rad="63500">
                <a:schemeClr val="accent1">
                  <a:satMod val="175000"/>
                  <a:alpha val="40000"/>
                </a:schemeClr>
              </a:glow>
            </a:effectLst>
            <a:latin typeface="+mn-lt"/>
            <a:ea typeface="+mn-ea"/>
            <a:cs typeface="+mn-cs"/>
          </a:endParaRPr>
        </a:p>
      </xdr:txBody>
    </xdr:sp>
    <xdr:clientData/>
  </xdr:twoCellAnchor>
  <xdr:twoCellAnchor>
    <xdr:from>
      <xdr:col>7</xdr:col>
      <xdr:colOff>236220</xdr:colOff>
      <xdr:row>5</xdr:row>
      <xdr:rowOff>45720</xdr:rowOff>
    </xdr:from>
    <xdr:to>
      <xdr:col>10</xdr:col>
      <xdr:colOff>167640</xdr:colOff>
      <xdr:row>6</xdr:row>
      <xdr:rowOff>114300</xdr:rowOff>
    </xdr:to>
    <xdr:sp macro="" textlink="">
      <xdr:nvSpPr>
        <xdr:cNvPr id="20" name="TextBox 19">
          <a:extLst>
            <a:ext uri="{FF2B5EF4-FFF2-40B4-BE49-F238E27FC236}">
              <a16:creationId xmlns:a16="http://schemas.microsoft.com/office/drawing/2014/main" id="{B9273016-C4DB-4414-8710-F3188AAFFED2}"/>
            </a:ext>
          </a:extLst>
        </xdr:cNvPr>
        <xdr:cNvSpPr txBox="1"/>
      </xdr:nvSpPr>
      <xdr:spPr>
        <a:xfrm>
          <a:off x="4503420" y="998220"/>
          <a:ext cx="1760220" cy="251460"/>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a:solidFill>
                <a:schemeClr val="bg2"/>
              </a:solidFill>
              <a:effectLst>
                <a:glow rad="63500">
                  <a:schemeClr val="accent1">
                    <a:satMod val="175000"/>
                    <a:alpha val="40000"/>
                  </a:schemeClr>
                </a:glow>
              </a:effectLst>
              <a:latin typeface="+mn-lt"/>
              <a:ea typeface="+mn-ea"/>
              <a:cs typeface="+mn-cs"/>
            </a:rPr>
            <a:t>🧾 Average Order Value</a:t>
          </a:r>
        </a:p>
        <a:p>
          <a:pPr marL="0" indent="0"/>
          <a:endParaRPr lang="en-IN" sz="1100">
            <a:solidFill>
              <a:schemeClr val="bg2"/>
            </a:solidFill>
            <a:effectLst>
              <a:glow rad="63500">
                <a:schemeClr val="accent1">
                  <a:satMod val="175000"/>
                  <a:alpha val="40000"/>
                </a:schemeClr>
              </a:glow>
            </a:effectLst>
            <a:latin typeface="+mn-lt"/>
            <a:ea typeface="+mn-ea"/>
            <a:cs typeface="+mn-cs"/>
          </a:endParaRPr>
        </a:p>
        <a:p>
          <a:pPr marL="0" indent="0"/>
          <a:endParaRPr lang="en-IN" sz="1100">
            <a:solidFill>
              <a:schemeClr val="bg2"/>
            </a:solidFill>
            <a:effectLst>
              <a:glow rad="63500">
                <a:schemeClr val="accent1">
                  <a:satMod val="175000"/>
                  <a:alpha val="40000"/>
                </a:schemeClr>
              </a:glow>
            </a:effectLst>
            <a:latin typeface="+mn-lt"/>
            <a:ea typeface="+mn-ea"/>
            <a:cs typeface="+mn-cs"/>
          </a:endParaRPr>
        </a:p>
        <a:p>
          <a:pPr marL="0" indent="0"/>
          <a:endParaRPr lang="en-IN" sz="1100">
            <a:solidFill>
              <a:schemeClr val="bg2"/>
            </a:solidFill>
            <a:effectLst>
              <a:glow rad="63500">
                <a:schemeClr val="accent1">
                  <a:satMod val="175000"/>
                  <a:alpha val="40000"/>
                </a:schemeClr>
              </a:glow>
            </a:effectLst>
            <a:latin typeface="+mn-lt"/>
            <a:ea typeface="+mn-ea"/>
            <a:cs typeface="+mn-cs"/>
          </a:endParaRPr>
        </a:p>
        <a:p>
          <a:pPr marL="0" indent="0"/>
          <a:endParaRPr lang="en-IN" sz="1100">
            <a:solidFill>
              <a:schemeClr val="bg2"/>
            </a:solidFill>
            <a:effectLst>
              <a:glow rad="63500">
                <a:schemeClr val="accent1">
                  <a:satMod val="175000"/>
                  <a:alpha val="40000"/>
                </a:schemeClr>
              </a:glow>
            </a:effectLst>
            <a:latin typeface="+mn-lt"/>
            <a:ea typeface="+mn-ea"/>
            <a:cs typeface="+mn-cs"/>
          </a:endParaRPr>
        </a:p>
      </xdr:txBody>
    </xdr:sp>
    <xdr:clientData/>
  </xdr:twoCellAnchor>
  <xdr:twoCellAnchor>
    <xdr:from>
      <xdr:col>10</xdr:col>
      <xdr:colOff>506730</xdr:colOff>
      <xdr:row>5</xdr:row>
      <xdr:rowOff>60960</xdr:rowOff>
    </xdr:from>
    <xdr:to>
      <xdr:col>13</xdr:col>
      <xdr:colOff>441960</xdr:colOff>
      <xdr:row>6</xdr:row>
      <xdr:rowOff>129540</xdr:rowOff>
    </xdr:to>
    <xdr:sp macro="" textlink="">
      <xdr:nvSpPr>
        <xdr:cNvPr id="25" name="TextBox 24">
          <a:extLst>
            <a:ext uri="{FF2B5EF4-FFF2-40B4-BE49-F238E27FC236}">
              <a16:creationId xmlns:a16="http://schemas.microsoft.com/office/drawing/2014/main" id="{6B4734D7-E8FA-455D-A670-12CC319CE963}"/>
            </a:ext>
          </a:extLst>
        </xdr:cNvPr>
        <xdr:cNvSpPr txBox="1"/>
      </xdr:nvSpPr>
      <xdr:spPr>
        <a:xfrm>
          <a:off x="6602730" y="1013460"/>
          <a:ext cx="1764030" cy="251460"/>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a:solidFill>
                <a:schemeClr val="bg2"/>
              </a:solidFill>
              <a:effectLst>
                <a:glow rad="63500">
                  <a:schemeClr val="accent1">
                    <a:satMod val="175000"/>
                    <a:alpha val="40000"/>
                  </a:schemeClr>
                </a:glow>
              </a:effectLst>
              <a:latin typeface="+mn-lt"/>
              <a:ea typeface="+mn-ea"/>
              <a:cs typeface="+mn-cs"/>
            </a:rPr>
            <a:t>🎯 Target Achievement %</a:t>
          </a:r>
        </a:p>
        <a:p>
          <a:pPr marL="0" indent="0"/>
          <a:endParaRPr lang="en-IN" sz="1100">
            <a:solidFill>
              <a:schemeClr val="bg2"/>
            </a:solidFill>
            <a:effectLst>
              <a:glow rad="63500">
                <a:schemeClr val="accent1">
                  <a:satMod val="175000"/>
                  <a:alpha val="40000"/>
                </a:schemeClr>
              </a:glow>
            </a:effectLst>
            <a:latin typeface="+mn-lt"/>
            <a:ea typeface="+mn-ea"/>
            <a:cs typeface="+mn-cs"/>
          </a:endParaRPr>
        </a:p>
        <a:p>
          <a:pPr marL="0" indent="0"/>
          <a:endParaRPr lang="en-IN" sz="1100">
            <a:solidFill>
              <a:schemeClr val="bg2"/>
            </a:solidFill>
            <a:effectLst>
              <a:glow rad="63500">
                <a:schemeClr val="accent1">
                  <a:satMod val="175000"/>
                  <a:alpha val="40000"/>
                </a:schemeClr>
              </a:glow>
            </a:effectLst>
            <a:latin typeface="+mn-lt"/>
            <a:ea typeface="+mn-ea"/>
            <a:cs typeface="+mn-cs"/>
          </a:endParaRPr>
        </a:p>
        <a:p>
          <a:pPr marL="0" indent="0"/>
          <a:endParaRPr lang="en-IN" sz="1100">
            <a:solidFill>
              <a:schemeClr val="bg2"/>
            </a:solidFill>
            <a:effectLst>
              <a:glow rad="63500">
                <a:schemeClr val="accent1">
                  <a:satMod val="175000"/>
                  <a:alpha val="40000"/>
                </a:schemeClr>
              </a:glow>
            </a:effectLst>
            <a:latin typeface="+mn-lt"/>
            <a:ea typeface="+mn-ea"/>
            <a:cs typeface="+mn-cs"/>
          </a:endParaRPr>
        </a:p>
        <a:p>
          <a:pPr marL="0" indent="0"/>
          <a:endParaRPr lang="en-IN" sz="1100">
            <a:solidFill>
              <a:schemeClr val="bg2"/>
            </a:solidFill>
            <a:effectLst>
              <a:glow rad="63500">
                <a:schemeClr val="accent1">
                  <a:satMod val="175000"/>
                  <a:alpha val="40000"/>
                </a:schemeClr>
              </a:glow>
            </a:effectLst>
            <a:latin typeface="+mn-lt"/>
            <a:ea typeface="+mn-ea"/>
            <a:cs typeface="+mn-cs"/>
          </a:endParaRPr>
        </a:p>
        <a:p>
          <a:pPr marL="0" indent="0"/>
          <a:endParaRPr lang="en-IN" sz="1100">
            <a:solidFill>
              <a:schemeClr val="bg2"/>
            </a:solidFill>
            <a:effectLst>
              <a:glow rad="63500">
                <a:schemeClr val="accent1">
                  <a:satMod val="175000"/>
                  <a:alpha val="40000"/>
                </a:schemeClr>
              </a:glow>
            </a:effectLst>
            <a:latin typeface="+mn-lt"/>
            <a:ea typeface="+mn-ea"/>
            <a:cs typeface="+mn-cs"/>
          </a:endParaRPr>
        </a:p>
      </xdr:txBody>
    </xdr:sp>
    <xdr:clientData/>
  </xdr:twoCellAnchor>
  <xdr:twoCellAnchor>
    <xdr:from>
      <xdr:col>14</xdr:col>
      <xdr:colOff>167640</xdr:colOff>
      <xdr:row>5</xdr:row>
      <xdr:rowOff>30480</xdr:rowOff>
    </xdr:from>
    <xdr:to>
      <xdr:col>17</xdr:col>
      <xdr:colOff>91440</xdr:colOff>
      <xdr:row>6</xdr:row>
      <xdr:rowOff>99060</xdr:rowOff>
    </xdr:to>
    <xdr:sp macro="" textlink="">
      <xdr:nvSpPr>
        <xdr:cNvPr id="27" name="TextBox 26">
          <a:extLst>
            <a:ext uri="{FF2B5EF4-FFF2-40B4-BE49-F238E27FC236}">
              <a16:creationId xmlns:a16="http://schemas.microsoft.com/office/drawing/2014/main" id="{0719D729-7731-4FEC-8716-0C6DE9A5317D}"/>
            </a:ext>
          </a:extLst>
        </xdr:cNvPr>
        <xdr:cNvSpPr txBox="1"/>
      </xdr:nvSpPr>
      <xdr:spPr>
        <a:xfrm>
          <a:off x="8702040" y="982980"/>
          <a:ext cx="1752600" cy="251460"/>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a:solidFill>
                <a:schemeClr val="bg2"/>
              </a:solidFill>
              <a:effectLst>
                <a:glow rad="63500">
                  <a:schemeClr val="accent1">
                    <a:satMod val="175000"/>
                    <a:alpha val="40000"/>
                  </a:schemeClr>
                </a:glow>
              </a:effectLst>
              <a:latin typeface="+mn-lt"/>
              <a:ea typeface="+mn-ea"/>
              <a:cs typeface="+mn-cs"/>
            </a:rPr>
            <a:t>📊 Total Variance</a:t>
          </a:r>
        </a:p>
        <a:p>
          <a:pPr marL="0" indent="0"/>
          <a:endParaRPr lang="en-IN" sz="1100">
            <a:solidFill>
              <a:schemeClr val="bg2"/>
            </a:solidFill>
            <a:effectLst>
              <a:glow rad="63500">
                <a:schemeClr val="accent1">
                  <a:satMod val="175000"/>
                  <a:alpha val="40000"/>
                </a:schemeClr>
              </a:glow>
            </a:effectLst>
            <a:latin typeface="+mn-lt"/>
            <a:ea typeface="+mn-ea"/>
            <a:cs typeface="+mn-cs"/>
          </a:endParaRPr>
        </a:p>
        <a:p>
          <a:pPr marL="0" indent="0"/>
          <a:endParaRPr lang="en-IN" sz="1100">
            <a:solidFill>
              <a:schemeClr val="bg2"/>
            </a:solidFill>
            <a:effectLst>
              <a:glow rad="63500">
                <a:schemeClr val="accent1">
                  <a:satMod val="175000"/>
                  <a:alpha val="40000"/>
                </a:schemeClr>
              </a:glow>
            </a:effectLst>
            <a:latin typeface="+mn-lt"/>
            <a:ea typeface="+mn-ea"/>
            <a:cs typeface="+mn-cs"/>
          </a:endParaRPr>
        </a:p>
        <a:p>
          <a:pPr marL="0" indent="0"/>
          <a:endParaRPr lang="en-IN" sz="1100">
            <a:solidFill>
              <a:schemeClr val="bg2"/>
            </a:solidFill>
            <a:effectLst>
              <a:glow rad="63500">
                <a:schemeClr val="accent1">
                  <a:satMod val="175000"/>
                  <a:alpha val="40000"/>
                </a:schemeClr>
              </a:glow>
            </a:effectLst>
            <a:latin typeface="+mn-lt"/>
            <a:ea typeface="+mn-ea"/>
            <a:cs typeface="+mn-cs"/>
          </a:endParaRPr>
        </a:p>
        <a:p>
          <a:pPr marL="0" indent="0"/>
          <a:endParaRPr lang="en-IN" sz="1100">
            <a:solidFill>
              <a:schemeClr val="bg2"/>
            </a:solidFill>
            <a:effectLst>
              <a:glow rad="63500">
                <a:schemeClr val="accent1">
                  <a:satMod val="175000"/>
                  <a:alpha val="40000"/>
                </a:schemeClr>
              </a:glow>
            </a:effectLst>
            <a:latin typeface="+mn-lt"/>
            <a:ea typeface="+mn-ea"/>
            <a:cs typeface="+mn-cs"/>
          </a:endParaRPr>
        </a:p>
        <a:p>
          <a:pPr marL="0" indent="0"/>
          <a:endParaRPr lang="en-IN" sz="1100">
            <a:solidFill>
              <a:schemeClr val="bg2"/>
            </a:solidFill>
            <a:effectLst>
              <a:glow rad="63500">
                <a:schemeClr val="accent1">
                  <a:satMod val="175000"/>
                  <a:alpha val="40000"/>
                </a:schemeClr>
              </a:glow>
            </a:effectLst>
            <a:latin typeface="+mn-lt"/>
            <a:ea typeface="+mn-ea"/>
            <a:cs typeface="+mn-cs"/>
          </a:endParaRPr>
        </a:p>
      </xdr:txBody>
    </xdr:sp>
    <xdr:clientData/>
  </xdr:twoCellAnchor>
  <xdr:twoCellAnchor>
    <xdr:from>
      <xdr:col>0</xdr:col>
      <xdr:colOff>304800</xdr:colOff>
      <xdr:row>5</xdr:row>
      <xdr:rowOff>30480</xdr:rowOff>
    </xdr:from>
    <xdr:to>
      <xdr:col>2</xdr:col>
      <xdr:colOff>358140</xdr:colOff>
      <xdr:row>6</xdr:row>
      <xdr:rowOff>99060</xdr:rowOff>
    </xdr:to>
    <xdr:sp macro="" textlink="">
      <xdr:nvSpPr>
        <xdr:cNvPr id="28" name="TextBox 27">
          <a:extLst>
            <a:ext uri="{FF2B5EF4-FFF2-40B4-BE49-F238E27FC236}">
              <a16:creationId xmlns:a16="http://schemas.microsoft.com/office/drawing/2014/main" id="{84A151A5-90E3-45D0-9A2A-C1177D56BC01}"/>
            </a:ext>
          </a:extLst>
        </xdr:cNvPr>
        <xdr:cNvSpPr txBox="1"/>
      </xdr:nvSpPr>
      <xdr:spPr>
        <a:xfrm>
          <a:off x="304800" y="982980"/>
          <a:ext cx="1272540" cy="251460"/>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solidFill>
                <a:schemeClr val="bg2"/>
              </a:solidFill>
              <a:effectLst>
                <a:glow rad="63500">
                  <a:schemeClr val="accent1">
                    <a:satMod val="175000"/>
                    <a:alpha val="40000"/>
                  </a:schemeClr>
                </a:glow>
              </a:effectLst>
            </a:rPr>
            <a:t>💰 Total Sales</a:t>
          </a:r>
        </a:p>
        <a:p>
          <a:endParaRPr lang="en-IN">
            <a:solidFill>
              <a:schemeClr val="bg2"/>
            </a:solidFill>
            <a:effectLst>
              <a:glow rad="63500">
                <a:schemeClr val="accent1">
                  <a:satMod val="175000"/>
                  <a:alpha val="40000"/>
                </a:schemeClr>
              </a:glow>
            </a:effectLst>
          </a:endParaRPr>
        </a:p>
        <a:p>
          <a:endParaRPr lang="en-IN">
            <a:ln>
              <a:noFill/>
            </a:ln>
            <a:solidFill>
              <a:schemeClr val="bg2"/>
            </a:solidFill>
            <a:effectLst>
              <a:glow rad="63500">
                <a:schemeClr val="accent1">
                  <a:satMod val="175000"/>
                  <a:alpha val="40000"/>
                </a:schemeClr>
              </a:glow>
            </a:effectLst>
          </a:endParaRPr>
        </a:p>
        <a:p>
          <a:endParaRPr lang="en-IN">
            <a:ln>
              <a:noFill/>
            </a:ln>
            <a:solidFill>
              <a:schemeClr val="bg2"/>
            </a:solidFill>
            <a:effectLst>
              <a:glow rad="63500">
                <a:schemeClr val="accent1">
                  <a:satMod val="175000"/>
                  <a:alpha val="40000"/>
                </a:schemeClr>
              </a:glow>
            </a:effectLst>
          </a:endParaRPr>
        </a:p>
        <a:p>
          <a:endParaRPr lang="en-IN">
            <a:ln>
              <a:noFill/>
            </a:ln>
            <a:solidFill>
              <a:schemeClr val="bg2"/>
            </a:solidFill>
            <a:effectLst>
              <a:glow rad="63500">
                <a:schemeClr val="accent1">
                  <a:satMod val="175000"/>
                  <a:alpha val="40000"/>
                </a:schemeClr>
              </a:glow>
            </a:effectLst>
          </a:endParaRPr>
        </a:p>
        <a:p>
          <a:endParaRPr lang="en-IN" sz="1100">
            <a:ln>
              <a:noFill/>
            </a:ln>
            <a:solidFill>
              <a:schemeClr val="bg2"/>
            </a:solidFill>
            <a:effectLst>
              <a:glow rad="63500">
                <a:schemeClr val="accent1">
                  <a:satMod val="175000"/>
                  <a:alpha val="40000"/>
                </a:schemeClr>
              </a:glow>
            </a:effectLst>
          </a:endParaRPr>
        </a:p>
      </xdr:txBody>
    </xdr:sp>
    <xdr:clientData/>
  </xdr:twoCellAnchor>
  <xdr:twoCellAnchor>
    <xdr:from>
      <xdr:col>0</xdr:col>
      <xdr:colOff>297180</xdr:colOff>
      <xdr:row>12</xdr:row>
      <xdr:rowOff>129540</xdr:rowOff>
    </xdr:from>
    <xdr:to>
      <xdr:col>6</xdr:col>
      <xdr:colOff>60960</xdr:colOff>
      <xdr:row>27</xdr:row>
      <xdr:rowOff>129540</xdr:rowOff>
    </xdr:to>
    <xdr:graphicFrame macro="">
      <xdr:nvGraphicFramePr>
        <xdr:cNvPr id="31" name="Chart 30">
          <a:extLst>
            <a:ext uri="{FF2B5EF4-FFF2-40B4-BE49-F238E27FC236}">
              <a16:creationId xmlns:a16="http://schemas.microsoft.com/office/drawing/2014/main" id="{EBA9191E-9228-411D-AFCE-F2E03A5BFE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376517</xdr:colOff>
      <xdr:row>12</xdr:row>
      <xdr:rowOff>125506</xdr:rowOff>
    </xdr:from>
    <xdr:to>
      <xdr:col>14</xdr:col>
      <xdr:colOff>71717</xdr:colOff>
      <xdr:row>28</xdr:row>
      <xdr:rowOff>0</xdr:rowOff>
    </xdr:to>
    <xdr:graphicFrame macro="">
      <xdr:nvGraphicFramePr>
        <xdr:cNvPr id="32" name="Chart 31">
          <a:extLst>
            <a:ext uri="{FF2B5EF4-FFF2-40B4-BE49-F238E27FC236}">
              <a16:creationId xmlns:a16="http://schemas.microsoft.com/office/drawing/2014/main" id="{244A9C5E-1650-41C8-8DB0-B7D07DD65B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367552</xdr:colOff>
      <xdr:row>12</xdr:row>
      <xdr:rowOff>80683</xdr:rowOff>
    </xdr:from>
    <xdr:to>
      <xdr:col>22</xdr:col>
      <xdr:colOff>62752</xdr:colOff>
      <xdr:row>27</xdr:row>
      <xdr:rowOff>134471</xdr:rowOff>
    </xdr:to>
    <xdr:graphicFrame macro="">
      <xdr:nvGraphicFramePr>
        <xdr:cNvPr id="33" name="Chart 32">
          <a:extLst>
            <a:ext uri="{FF2B5EF4-FFF2-40B4-BE49-F238E27FC236}">
              <a16:creationId xmlns:a16="http://schemas.microsoft.com/office/drawing/2014/main" id="{F042747D-8837-4921-BFDD-B544F14F6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546847</xdr:colOff>
      <xdr:row>4</xdr:row>
      <xdr:rowOff>44824</xdr:rowOff>
    </xdr:from>
    <xdr:to>
      <xdr:col>20</xdr:col>
      <xdr:colOff>546847</xdr:colOff>
      <xdr:row>11</xdr:row>
      <xdr:rowOff>26895</xdr:rowOff>
    </xdr:to>
    <mc:AlternateContent xmlns:mc="http://schemas.openxmlformats.org/markup-compatibility/2006">
      <mc:Choice xmlns:a14="http://schemas.microsoft.com/office/drawing/2010/main" Requires="a14">
        <xdr:graphicFrame macro="">
          <xdr:nvGraphicFramePr>
            <xdr:cNvPr id="34" name="Region 3">
              <a:extLst>
                <a:ext uri="{FF2B5EF4-FFF2-40B4-BE49-F238E27FC236}">
                  <a16:creationId xmlns:a16="http://schemas.microsoft.com/office/drawing/2014/main" id="{F641CE9B-EC49-4032-813A-3FBCED9206C5}"/>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10973237" y="825409"/>
              <a:ext cx="1839951" cy="12830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lva Ganesan" refreshedDate="46302.403385185185" createdVersion="8" refreshedVersion="8" minRefreshableVersion="3" recordCount="149" xr:uid="{562762CC-9D9D-4FB6-A1A6-772B3826331A}">
  <cacheSource type="worksheet">
    <worksheetSource name="Sales_Transactions"/>
  </cacheSource>
  <cacheFields count="16">
    <cacheField name="Order_ID" numFmtId="0">
      <sharedItems/>
    </cacheField>
    <cacheField name="Order_Date" numFmtId="14">
      <sharedItems containsSemiMixedTypes="0" containsNonDate="0" containsDate="1" containsString="0" minDate="2026-09-01T00:00:00" maxDate="2026-10-01T00:00:00" count="30">
        <d v="2026-09-08T00:00:00"/>
        <d v="2026-09-19T00:00:00"/>
        <d v="2026-09-17T00:00:00"/>
        <d v="2026-09-11T00:00:00"/>
        <d v="2026-09-13T00:00:00"/>
        <d v="2026-09-18T00:00:00"/>
        <d v="2026-09-28T00:00:00"/>
        <d v="2026-09-06T00:00:00"/>
        <d v="2026-09-21T00:00:00"/>
        <d v="2026-09-27T00:00:00"/>
        <d v="2026-09-30T00:00:00"/>
        <d v="2026-09-05T00:00:00"/>
        <d v="2026-09-29T00:00:00"/>
        <d v="2026-09-16T00:00:00"/>
        <d v="2026-09-20T00:00:00"/>
        <d v="2026-09-10T00:00:00"/>
        <d v="2026-09-25T00:00:00"/>
        <d v="2026-09-07T00:00:00"/>
        <d v="2026-09-09T00:00:00"/>
        <d v="2026-09-23T00:00:00"/>
        <d v="2026-09-15T00:00:00"/>
        <d v="2026-09-14T00:00:00"/>
        <d v="2026-09-24T00:00:00"/>
        <d v="2026-09-02T00:00:00"/>
        <d v="2026-09-03T00:00:00"/>
        <d v="2026-09-22T00:00:00"/>
        <d v="2026-09-04T00:00:00"/>
        <d v="2026-09-26T00:00:00"/>
        <d v="2026-09-12T00:00:00"/>
        <d v="2026-09-01T00:00:00"/>
      </sharedItems>
      <fieldGroup par="15"/>
    </cacheField>
    <cacheField name="Employee_ID" numFmtId="0">
      <sharedItems/>
    </cacheField>
    <cacheField name="Employee_Name" numFmtId="0">
      <sharedItems count="6">
        <s v="Neha Patel"/>
        <s v="Arun Kumar"/>
        <s v="Ravi Menon"/>
        <s v="Kumar Raj"/>
        <s v="Priya Sharma"/>
        <s v="Divya Singh"/>
      </sharedItems>
    </cacheField>
    <cacheField name="Region" numFmtId="0">
      <sharedItems count="4">
        <s v="Mumbai"/>
        <s v="Chennai"/>
        <s v="Delhi"/>
        <s v="Bangalore"/>
      </sharedItems>
    </cacheField>
    <cacheField name="Product_ID" numFmtId="0">
      <sharedItems/>
    </cacheField>
    <cacheField name="Product_Name" numFmtId="0">
      <sharedItems count="8">
        <s v="Business Laptop 15"/>
        <s v="Mechanical Keyboard"/>
        <s v="Laptop Pro 14"/>
        <s v="27-inch Monitor"/>
        <s v="24-inch Monitor"/>
        <s v="Office Headset"/>
        <s v="Wireless Mouse"/>
        <s v="USB-C Hub"/>
      </sharedItems>
    </cacheField>
    <cacheField name="Category" numFmtId="0">
      <sharedItems count="3">
        <s v="Laptops"/>
        <s v="Accessories"/>
        <s v="Monitors"/>
      </sharedItems>
    </cacheField>
    <cacheField name="Quantity" numFmtId="0">
      <sharedItems containsMixedTypes="1" containsNumber="1" containsInteger="1" minValue="1" maxValue="5"/>
    </cacheField>
    <cacheField name="Unit_Price" numFmtId="0">
      <sharedItems containsSemiMixedTypes="0" containsString="0" containsNumber="1" containsInteger="1" minValue="1200" maxValue="65000"/>
    </cacheField>
    <cacheField name="Discount" numFmtId="0">
      <sharedItems containsSemiMixedTypes="0" containsString="0" containsNumber="1" minValue="0" maxValue="0.15"/>
    </cacheField>
    <cacheField name="Sales_Amount" numFmtId="0">
      <sharedItems containsSemiMixedTypes="0" containsString="0" containsNumber="1" containsInteger="1" minValue="1020" maxValue="325000"/>
    </cacheField>
    <cacheField name="Payment_Mode" numFmtId="0">
      <sharedItems count="6">
        <s v="Credit Card"/>
        <s v="Net Banking"/>
        <s v="Cash"/>
        <s v="Debit Card"/>
        <s v="UPI"/>
        <s v="Missing"/>
      </sharedItems>
    </cacheField>
    <cacheField name="Order_Status" numFmtId="0">
      <sharedItems/>
    </cacheField>
    <cacheField name="Days (Order_Date)" numFmtId="0" databaseField="0">
      <fieldGroup base="1">
        <rangePr autoEnd="0" groupBy="days" startDate="2026-09-01T00:00:00" endDate="2026-09-05T00:00:00"/>
        <groupItems count="368">
          <s v="&lt;01-09-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5-09-2026"/>
        </groupItems>
      </fieldGroup>
    </cacheField>
    <cacheField name="Quarters (Order_Date)" numFmtId="0" databaseField="0">
      <fieldGroup base="1">
        <rangePr autoEnd="0" groupBy="quarters" startDate="2026-09-01T00:00:00" endDate="2026-09-05T00:00:00"/>
        <groupItems count="6">
          <s v="&lt;01-09-2026"/>
          <s v="Qtr1"/>
          <s v="Qtr2"/>
          <s v="Qtr3"/>
          <s v="Qtr4"/>
          <s v="&gt;05-09-2026"/>
        </groupItems>
      </fieldGroup>
    </cacheField>
  </cacheFields>
  <extLst>
    <ext xmlns:x14="http://schemas.microsoft.com/office/spreadsheetml/2009/9/main" uri="{725AE2AE-9491-48be-B2B4-4EB974FC3084}">
      <x14:pivotCacheDefinition pivotCacheId="10166102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s v="O10001"/>
    <x v="0"/>
    <s v="E106"/>
    <x v="0"/>
    <x v="0"/>
    <s v="P102"/>
    <x v="0"/>
    <x v="0"/>
    <n v="1"/>
    <n v="60000"/>
    <n v="0.05"/>
    <n v="57000"/>
    <x v="0"/>
    <s v="Completed"/>
  </r>
  <r>
    <s v="O10002"/>
    <x v="1"/>
    <s v="E106"/>
    <x v="0"/>
    <x v="0"/>
    <s v="P102"/>
    <x v="0"/>
    <x v="0"/>
    <n v="5"/>
    <n v="60000"/>
    <n v="0"/>
    <n v="300000"/>
    <x v="1"/>
    <s v="Completed"/>
  </r>
  <r>
    <s v="O10003"/>
    <x v="2"/>
    <s v="E101"/>
    <x v="1"/>
    <x v="1"/>
    <s v="P102"/>
    <x v="0"/>
    <x v="0"/>
    <n v="2"/>
    <n v="60000"/>
    <n v="0"/>
    <n v="120000"/>
    <x v="2"/>
    <s v="Completed"/>
  </r>
  <r>
    <s v="O10004"/>
    <x v="0"/>
    <s v="E105"/>
    <x v="2"/>
    <x v="2"/>
    <s v="P104"/>
    <x v="1"/>
    <x v="1"/>
    <n v="5"/>
    <n v="3000"/>
    <n v="0.1"/>
    <n v="13500"/>
    <x v="1"/>
    <s v="Cancelled"/>
  </r>
  <r>
    <s v="O10005"/>
    <x v="3"/>
    <s v="E103"/>
    <x v="3"/>
    <x v="1"/>
    <s v="P101"/>
    <x v="2"/>
    <x v="0"/>
    <n v="2"/>
    <n v="65000"/>
    <n v="0.1"/>
    <n v="117000"/>
    <x v="3"/>
    <s v="Completed"/>
  </r>
  <r>
    <s v="O10006"/>
    <x v="4"/>
    <s v="E102"/>
    <x v="4"/>
    <x v="1"/>
    <s v="P106"/>
    <x v="3"/>
    <x v="2"/>
    <n v="1"/>
    <n v="12500"/>
    <n v="0"/>
    <n v="12500"/>
    <x v="4"/>
    <s v="Completed"/>
  </r>
  <r>
    <s v="O10007"/>
    <x v="5"/>
    <s v="E103"/>
    <x v="3"/>
    <x v="1"/>
    <s v="P105"/>
    <x v="4"/>
    <x v="2"/>
    <n v="1"/>
    <n v="9000"/>
    <n v="0.1"/>
    <n v="8100"/>
    <x v="4"/>
    <s v="Pending"/>
  </r>
  <r>
    <s v="O10008"/>
    <x v="1"/>
    <s v="E101"/>
    <x v="1"/>
    <x v="1"/>
    <s v="P105"/>
    <x v="4"/>
    <x v="2"/>
    <n v="5"/>
    <n v="9000"/>
    <n v="0.05"/>
    <n v="42750"/>
    <x v="0"/>
    <s v="Completed"/>
  </r>
  <r>
    <s v="O10009"/>
    <x v="6"/>
    <s v="E101"/>
    <x v="1"/>
    <x v="1"/>
    <s v="P104"/>
    <x v="1"/>
    <x v="1"/>
    <n v="3"/>
    <n v="3000"/>
    <n v="0"/>
    <n v="9000"/>
    <x v="0"/>
    <s v="Completed"/>
  </r>
  <r>
    <s v="O10010"/>
    <x v="7"/>
    <s v="E104"/>
    <x v="5"/>
    <x v="3"/>
    <s v="P105"/>
    <x v="4"/>
    <x v="2"/>
    <n v="4"/>
    <n v="9000"/>
    <n v="0.05"/>
    <n v="34200"/>
    <x v="3"/>
    <s v="Completed"/>
  </r>
  <r>
    <s v="O10011"/>
    <x v="8"/>
    <s v="E102"/>
    <x v="4"/>
    <x v="0"/>
    <s v="P105"/>
    <x v="4"/>
    <x v="2"/>
    <n v="1"/>
    <n v="9000"/>
    <n v="0.15"/>
    <n v="7650"/>
    <x v="0"/>
    <s v="Cancelled"/>
  </r>
  <r>
    <s v="O10012"/>
    <x v="4"/>
    <s v="E106"/>
    <x v="0"/>
    <x v="0"/>
    <s v="P104"/>
    <x v="1"/>
    <x v="1"/>
    <n v="2"/>
    <n v="3000"/>
    <n v="0.1"/>
    <n v="5400"/>
    <x v="3"/>
    <s v="Cancelled"/>
  </r>
  <r>
    <s v="O10013"/>
    <x v="9"/>
    <s v="Missing"/>
    <x v="4"/>
    <x v="0"/>
    <s v="P106"/>
    <x v="3"/>
    <x v="2"/>
    <n v="1"/>
    <n v="12500"/>
    <n v="0"/>
    <n v="12500"/>
    <x v="4"/>
    <s v="Completed"/>
  </r>
  <r>
    <s v="O10014"/>
    <x v="10"/>
    <s v="E104"/>
    <x v="5"/>
    <x v="3"/>
    <s v="P105"/>
    <x v="4"/>
    <x v="2"/>
    <n v="1"/>
    <n v="9000"/>
    <n v="0"/>
    <n v="9000"/>
    <x v="2"/>
    <s v="Completed"/>
  </r>
  <r>
    <s v="O10015"/>
    <x v="11"/>
    <s v="E102"/>
    <x v="4"/>
    <x v="0"/>
    <s v="P108"/>
    <x v="5"/>
    <x v="1"/>
    <n v="4"/>
    <n v="4500"/>
    <n v="0.1"/>
    <n v="16200"/>
    <x v="3"/>
    <s v="Completed"/>
  </r>
  <r>
    <s v="O10016"/>
    <x v="12"/>
    <s v="E102"/>
    <x v="4"/>
    <x v="0"/>
    <s v="P105"/>
    <x v="4"/>
    <x v="2"/>
    <n v="5"/>
    <n v="9000"/>
    <n v="0.1"/>
    <n v="40500"/>
    <x v="2"/>
    <s v="Pending"/>
  </r>
  <r>
    <s v="O10017"/>
    <x v="13"/>
    <s v="E103"/>
    <x v="3"/>
    <x v="1"/>
    <s v="P104"/>
    <x v="1"/>
    <x v="1"/>
    <n v="2"/>
    <n v="3000"/>
    <n v="0.15"/>
    <n v="5100"/>
    <x v="4"/>
    <s v="Completed"/>
  </r>
  <r>
    <s v="O10018"/>
    <x v="14"/>
    <s v="E101"/>
    <x v="1"/>
    <x v="1"/>
    <s v="P103"/>
    <x v="6"/>
    <x v="1"/>
    <n v="2"/>
    <n v="1200"/>
    <n v="0.1"/>
    <n v="2160"/>
    <x v="4"/>
    <s v="Pending"/>
  </r>
  <r>
    <s v="O10019"/>
    <x v="5"/>
    <s v="E104"/>
    <x v="5"/>
    <x v="3"/>
    <s v="P108"/>
    <x v="5"/>
    <x v="1"/>
    <n v="5"/>
    <n v="4500"/>
    <n v="0.05"/>
    <n v="21375"/>
    <x v="4"/>
    <s v="Completed"/>
  </r>
  <r>
    <s v="O10020"/>
    <x v="15"/>
    <s v="E106"/>
    <x v="0"/>
    <x v="1"/>
    <s v="P105"/>
    <x v="4"/>
    <x v="2"/>
    <n v="3"/>
    <n v="9000"/>
    <n v="0"/>
    <n v="27000"/>
    <x v="1"/>
    <s v="Completed"/>
  </r>
  <r>
    <s v="O10021"/>
    <x v="16"/>
    <s v="E104"/>
    <x v="5"/>
    <x v="3"/>
    <s v="P101"/>
    <x v="2"/>
    <x v="0"/>
    <n v="3"/>
    <n v="65000"/>
    <n v="0.15"/>
    <n v="165750"/>
    <x v="0"/>
    <s v="Cancelled"/>
  </r>
  <r>
    <s v="O10022"/>
    <x v="17"/>
    <s v="E101"/>
    <x v="1"/>
    <x v="1"/>
    <s v="P105"/>
    <x v="4"/>
    <x v="2"/>
    <n v="5"/>
    <n v="9000"/>
    <n v="0.15"/>
    <n v="38250"/>
    <x v="0"/>
    <s v="Completed"/>
  </r>
  <r>
    <s v="O10023"/>
    <x v="13"/>
    <s v="E102"/>
    <x v="4"/>
    <x v="0"/>
    <s v="P101"/>
    <x v="2"/>
    <x v="0"/>
    <n v="5"/>
    <n v="65000"/>
    <n v="0.05"/>
    <n v="308750"/>
    <x v="4"/>
    <s v="Completed"/>
  </r>
  <r>
    <s v="O10024"/>
    <x v="0"/>
    <s v="E103"/>
    <x v="3"/>
    <x v="1"/>
    <s v="P105"/>
    <x v="4"/>
    <x v="2"/>
    <n v="2"/>
    <n v="9000"/>
    <n v="0"/>
    <n v="18000"/>
    <x v="2"/>
    <s v="Completed"/>
  </r>
  <r>
    <s v="O10025"/>
    <x v="16"/>
    <s v="E101"/>
    <x v="1"/>
    <x v="1"/>
    <s v="P108"/>
    <x v="5"/>
    <x v="1"/>
    <n v="1"/>
    <n v="4500"/>
    <n v="0.15"/>
    <n v="3825"/>
    <x v="0"/>
    <s v="Completed"/>
  </r>
  <r>
    <s v="O10026"/>
    <x v="18"/>
    <s v="E106"/>
    <x v="0"/>
    <x v="0"/>
    <s v="P108"/>
    <x v="5"/>
    <x v="1"/>
    <n v="5"/>
    <n v="4500"/>
    <n v="0"/>
    <n v="22500"/>
    <x v="2"/>
    <s v="Cancelled"/>
  </r>
  <r>
    <s v="O10027"/>
    <x v="19"/>
    <s v="E104"/>
    <x v="5"/>
    <x v="3"/>
    <s v="P104"/>
    <x v="1"/>
    <x v="1"/>
    <n v="5"/>
    <n v="3000"/>
    <n v="0"/>
    <n v="15000"/>
    <x v="3"/>
    <s v="Pending"/>
  </r>
  <r>
    <s v="O10028"/>
    <x v="20"/>
    <s v="E106"/>
    <x v="0"/>
    <x v="0"/>
    <s v="P106"/>
    <x v="3"/>
    <x v="2"/>
    <n v="4"/>
    <n v="12500"/>
    <n v="0.15"/>
    <n v="42500"/>
    <x v="5"/>
    <s v="Completed"/>
  </r>
  <r>
    <s v="O10029"/>
    <x v="1"/>
    <s v="E102"/>
    <x v="4"/>
    <x v="0"/>
    <s v="P102"/>
    <x v="0"/>
    <x v="0"/>
    <n v="3"/>
    <n v="60000"/>
    <n v="0"/>
    <n v="180000"/>
    <x v="2"/>
    <s v="Completed"/>
  </r>
  <r>
    <s v="O10030"/>
    <x v="19"/>
    <s v="E105"/>
    <x v="2"/>
    <x v="2"/>
    <s v="P104"/>
    <x v="1"/>
    <x v="1"/>
    <n v="1"/>
    <n v="3000"/>
    <n v="0"/>
    <n v="3000"/>
    <x v="4"/>
    <s v="Completed"/>
  </r>
  <r>
    <s v="O10031"/>
    <x v="2"/>
    <s v="E101"/>
    <x v="1"/>
    <x v="1"/>
    <s v="P101"/>
    <x v="2"/>
    <x v="0"/>
    <n v="3"/>
    <n v="65000"/>
    <n v="0"/>
    <n v="195000"/>
    <x v="0"/>
    <s v="Completed"/>
  </r>
  <r>
    <s v="O10032"/>
    <x v="11"/>
    <s v="E106"/>
    <x v="0"/>
    <x v="0"/>
    <s v="P108"/>
    <x v="5"/>
    <x v="1"/>
    <n v="2"/>
    <n v="4500"/>
    <n v="0.15"/>
    <n v="7650"/>
    <x v="2"/>
    <s v="Cancelled"/>
  </r>
  <r>
    <s v="O10033"/>
    <x v="17"/>
    <s v="E104"/>
    <x v="5"/>
    <x v="3"/>
    <s v="P104"/>
    <x v="1"/>
    <x v="1"/>
    <n v="4"/>
    <n v="3000"/>
    <n v="0.1"/>
    <n v="10800"/>
    <x v="4"/>
    <s v="Completed"/>
  </r>
  <r>
    <s v="O10034"/>
    <x v="21"/>
    <s v="E106"/>
    <x v="0"/>
    <x v="0"/>
    <s v="P107"/>
    <x v="7"/>
    <x v="1"/>
    <s v="3 units"/>
    <n v="3500"/>
    <n v="0.1"/>
    <n v="9450"/>
    <x v="1"/>
    <s v="Completed"/>
  </r>
  <r>
    <s v="O10035"/>
    <x v="22"/>
    <s v="E106"/>
    <x v="0"/>
    <x v="0"/>
    <s v="P102"/>
    <x v="0"/>
    <x v="0"/>
    <n v="1"/>
    <n v="60000"/>
    <n v="0.1"/>
    <n v="54000"/>
    <x v="3"/>
    <s v="Completed"/>
  </r>
  <r>
    <s v="O10036"/>
    <x v="20"/>
    <s v="E102"/>
    <x v="4"/>
    <x v="0"/>
    <s v="P104"/>
    <x v="1"/>
    <x v="1"/>
    <n v="2"/>
    <n v="3000"/>
    <n v="0.15"/>
    <n v="5100"/>
    <x v="0"/>
    <s v="Pending"/>
  </r>
  <r>
    <s v="O10037"/>
    <x v="6"/>
    <s v="E102"/>
    <x v="4"/>
    <x v="0"/>
    <s v="P105"/>
    <x v="4"/>
    <x v="2"/>
    <n v="4"/>
    <n v="9000"/>
    <n v="0"/>
    <n v="36000"/>
    <x v="4"/>
    <s v="Pending"/>
  </r>
  <r>
    <s v="O10038"/>
    <x v="9"/>
    <s v="E105"/>
    <x v="2"/>
    <x v="0"/>
    <s v="P102"/>
    <x v="0"/>
    <x v="0"/>
    <n v="1"/>
    <n v="60000"/>
    <n v="0.15"/>
    <n v="51000"/>
    <x v="4"/>
    <s v="Completed"/>
  </r>
  <r>
    <s v="O10039"/>
    <x v="13"/>
    <s v="E102"/>
    <x v="4"/>
    <x v="0"/>
    <s v="P103"/>
    <x v="6"/>
    <x v="1"/>
    <n v="4"/>
    <n v="1200"/>
    <n v="0.1"/>
    <n v="4320"/>
    <x v="0"/>
    <s v="Pending"/>
  </r>
  <r>
    <s v="O10040"/>
    <x v="4"/>
    <s v="E101"/>
    <x v="1"/>
    <x v="1"/>
    <s v="P103"/>
    <x v="6"/>
    <x v="1"/>
    <n v="4"/>
    <n v="1200"/>
    <n v="0"/>
    <n v="4800"/>
    <x v="3"/>
    <s v="Pending"/>
  </r>
  <r>
    <s v="O10041"/>
    <x v="11"/>
    <s v="E103"/>
    <x v="3"/>
    <x v="1"/>
    <s v="P107"/>
    <x v="7"/>
    <x v="1"/>
    <n v="5"/>
    <n v="3500"/>
    <n v="0.1"/>
    <n v="15750"/>
    <x v="0"/>
    <s v="Completed"/>
  </r>
  <r>
    <s v="O10042"/>
    <x v="23"/>
    <s v="E102"/>
    <x v="4"/>
    <x v="0"/>
    <s v="P101"/>
    <x v="2"/>
    <x v="0"/>
    <n v="5"/>
    <n v="65000"/>
    <n v="0.15"/>
    <n v="276250"/>
    <x v="3"/>
    <s v="Completed"/>
  </r>
  <r>
    <s v="O10043"/>
    <x v="7"/>
    <s v="E101"/>
    <x v="1"/>
    <x v="1"/>
    <s v="P108"/>
    <x v="5"/>
    <x v="1"/>
    <n v="5"/>
    <n v="4500"/>
    <n v="0.15"/>
    <n v="19125"/>
    <x v="4"/>
    <s v="Cancelled"/>
  </r>
  <r>
    <s v="O10044"/>
    <x v="24"/>
    <s v="E101"/>
    <x v="1"/>
    <x v="1"/>
    <s v="P103"/>
    <x v="6"/>
    <x v="1"/>
    <n v="1"/>
    <n v="1200"/>
    <n v="0.15"/>
    <n v="1020"/>
    <x v="0"/>
    <s v="Pending"/>
  </r>
  <r>
    <s v="O10045"/>
    <x v="20"/>
    <s v="E101"/>
    <x v="1"/>
    <x v="1"/>
    <s v="P104"/>
    <x v="1"/>
    <x v="1"/>
    <n v="5"/>
    <n v="3000"/>
    <n v="0.15"/>
    <n v="12750"/>
    <x v="2"/>
    <s v="Completed"/>
  </r>
  <r>
    <s v="O10046"/>
    <x v="25"/>
    <s v="E104"/>
    <x v="5"/>
    <x v="3"/>
    <s v="P106"/>
    <x v="3"/>
    <x v="2"/>
    <n v="3"/>
    <n v="12500"/>
    <n v="0"/>
    <n v="37500"/>
    <x v="3"/>
    <s v="Completed"/>
  </r>
  <r>
    <s v="O10047"/>
    <x v="20"/>
    <s v="E103"/>
    <x v="3"/>
    <x v="1"/>
    <s v="P107"/>
    <x v="7"/>
    <x v="1"/>
    <n v="2"/>
    <n v="3500"/>
    <n v="0.05"/>
    <n v="6650"/>
    <x v="3"/>
    <s v="Completed"/>
  </r>
  <r>
    <s v="O10048"/>
    <x v="26"/>
    <s v="E101"/>
    <x v="1"/>
    <x v="1"/>
    <s v="P108"/>
    <x v="5"/>
    <x v="1"/>
    <n v="5"/>
    <n v="4500"/>
    <n v="0.15"/>
    <n v="19125"/>
    <x v="4"/>
    <s v="Cancelled"/>
  </r>
  <r>
    <s v="O10049"/>
    <x v="12"/>
    <s v="E102"/>
    <x v="4"/>
    <x v="0"/>
    <s v="P105"/>
    <x v="4"/>
    <x v="2"/>
    <n v="2"/>
    <n v="9000"/>
    <n v="0.05"/>
    <n v="17100"/>
    <x v="4"/>
    <s v="Completed"/>
  </r>
  <r>
    <s v="O10050"/>
    <x v="9"/>
    <s v="E103"/>
    <x v="3"/>
    <x v="1"/>
    <s v="P105"/>
    <x v="4"/>
    <x v="2"/>
    <n v="2"/>
    <n v="9000"/>
    <n v="0.1"/>
    <n v="16200"/>
    <x v="2"/>
    <s v="Completed"/>
  </r>
  <r>
    <s v="O10051"/>
    <x v="10"/>
    <s v="E105"/>
    <x v="2"/>
    <x v="2"/>
    <s v="P101"/>
    <x v="2"/>
    <x v="0"/>
    <n v="5"/>
    <n v="65000"/>
    <n v="0.05"/>
    <n v="308750"/>
    <x v="4"/>
    <s v="Completed"/>
  </r>
  <r>
    <s v="O10052"/>
    <x v="11"/>
    <s v="E103"/>
    <x v="3"/>
    <x v="1"/>
    <s v="P102"/>
    <x v="0"/>
    <x v="0"/>
    <n v="1"/>
    <n v="60000"/>
    <n v="0.15"/>
    <n v="51000"/>
    <x v="3"/>
    <s v="Completed"/>
  </r>
  <r>
    <s v="O10053"/>
    <x v="25"/>
    <s v="E105"/>
    <x v="1"/>
    <x v="2"/>
    <s v="P104"/>
    <x v="1"/>
    <x v="1"/>
    <n v="3"/>
    <n v="3000"/>
    <n v="0"/>
    <n v="9000"/>
    <x v="3"/>
    <s v="Cancelled"/>
  </r>
  <r>
    <s v="O10054"/>
    <x v="8"/>
    <s v="E104"/>
    <x v="5"/>
    <x v="3"/>
    <s v="P105"/>
    <x v="4"/>
    <x v="2"/>
    <n v="1"/>
    <n v="9000"/>
    <n v="0"/>
    <n v="9000"/>
    <x v="1"/>
    <s v="Completed"/>
  </r>
  <r>
    <s v="O10055"/>
    <x v="8"/>
    <s v="E101"/>
    <x v="1"/>
    <x v="1"/>
    <s v="P101"/>
    <x v="2"/>
    <x v="0"/>
    <n v="3"/>
    <n v="65000"/>
    <n v="0"/>
    <n v="195000"/>
    <x v="3"/>
    <s v="Completed"/>
  </r>
  <r>
    <s v="O10056"/>
    <x v="5"/>
    <s v="E106"/>
    <x v="0"/>
    <x v="0"/>
    <s v="P108"/>
    <x v="5"/>
    <x v="1"/>
    <n v="5"/>
    <n v="4500"/>
    <n v="0.1"/>
    <n v="20250"/>
    <x v="4"/>
    <s v="Completed"/>
  </r>
  <r>
    <s v="O10057"/>
    <x v="9"/>
    <s v="E101"/>
    <x v="1"/>
    <x v="1"/>
    <s v="P103"/>
    <x v="6"/>
    <x v="1"/>
    <n v="5"/>
    <n v="1200"/>
    <n v="0"/>
    <n v="6000"/>
    <x v="3"/>
    <s v="Cancelled"/>
  </r>
  <r>
    <s v="O10058"/>
    <x v="23"/>
    <s v="E105"/>
    <x v="2"/>
    <x v="2"/>
    <s v="P103"/>
    <x v="6"/>
    <x v="1"/>
    <n v="4"/>
    <n v="1200"/>
    <n v="0"/>
    <n v="4800"/>
    <x v="3"/>
    <s v="Completed"/>
  </r>
  <r>
    <s v="O10059"/>
    <x v="25"/>
    <s v="E101"/>
    <x v="1"/>
    <x v="1"/>
    <s v="P106"/>
    <x v="3"/>
    <x v="2"/>
    <n v="2"/>
    <n v="12500"/>
    <n v="0"/>
    <n v="25000"/>
    <x v="4"/>
    <s v="Completed"/>
  </r>
  <r>
    <s v="O10060"/>
    <x v="10"/>
    <s v="E105"/>
    <x v="2"/>
    <x v="2"/>
    <s v="P107"/>
    <x v="7"/>
    <x v="1"/>
    <n v="5"/>
    <n v="3500"/>
    <n v="0"/>
    <n v="17500"/>
    <x v="0"/>
    <s v="Completed"/>
  </r>
  <r>
    <s v="O10061"/>
    <x v="22"/>
    <s v="E102"/>
    <x v="4"/>
    <x v="0"/>
    <s v="P107"/>
    <x v="7"/>
    <x v="1"/>
    <n v="1"/>
    <n v="3500"/>
    <n v="0"/>
    <n v="3500"/>
    <x v="3"/>
    <s v="Pending"/>
  </r>
  <r>
    <s v="O10062"/>
    <x v="27"/>
    <s v="E106"/>
    <x v="0"/>
    <x v="0"/>
    <s v="P104"/>
    <x v="1"/>
    <x v="1"/>
    <n v="3"/>
    <n v="3000"/>
    <n v="0"/>
    <n v="9000"/>
    <x v="4"/>
    <s v="Pending"/>
  </r>
  <r>
    <s v="O10063"/>
    <x v="9"/>
    <s v="E101"/>
    <x v="1"/>
    <x v="1"/>
    <s v="P108"/>
    <x v="5"/>
    <x v="1"/>
    <n v="2"/>
    <n v="4500"/>
    <n v="0"/>
    <n v="9000"/>
    <x v="1"/>
    <s v="Completed"/>
  </r>
  <r>
    <s v="O10064"/>
    <x v="25"/>
    <s v="E103"/>
    <x v="3"/>
    <x v="1"/>
    <s v="P104"/>
    <x v="1"/>
    <x v="1"/>
    <n v="2"/>
    <n v="3000"/>
    <n v="0"/>
    <n v="6000"/>
    <x v="0"/>
    <s v="Pending"/>
  </r>
  <r>
    <s v="O10065"/>
    <x v="28"/>
    <s v="E103"/>
    <x v="3"/>
    <x v="1"/>
    <s v="P105"/>
    <x v="4"/>
    <x v="2"/>
    <n v="1"/>
    <n v="9000"/>
    <n v="6.3281249999999983E-2"/>
    <n v="8550"/>
    <x v="2"/>
    <s v="Pending"/>
  </r>
  <r>
    <s v="O10066"/>
    <x v="12"/>
    <s v="E106"/>
    <x v="0"/>
    <x v="0"/>
    <s v="P106"/>
    <x v="3"/>
    <x v="2"/>
    <n v="1"/>
    <n v="12500"/>
    <n v="0"/>
    <n v="12500"/>
    <x v="3"/>
    <s v="Completed"/>
  </r>
  <r>
    <s v="O10067"/>
    <x v="14"/>
    <s v="E105"/>
    <x v="2"/>
    <x v="2"/>
    <s v="P105"/>
    <x v="4"/>
    <x v="2"/>
    <n v="1"/>
    <n v="9000"/>
    <n v="0"/>
    <n v="9000"/>
    <x v="1"/>
    <s v="Completed"/>
  </r>
  <r>
    <s v="O10068"/>
    <x v="2"/>
    <s v="E106"/>
    <x v="0"/>
    <x v="0"/>
    <s v="P106"/>
    <x v="3"/>
    <x v="2"/>
    <n v="4"/>
    <n v="12500"/>
    <n v="0.15"/>
    <n v="42500"/>
    <x v="4"/>
    <s v="Pending"/>
  </r>
  <r>
    <s v="O10069"/>
    <x v="19"/>
    <s v="E105"/>
    <x v="2"/>
    <x v="2"/>
    <s v="P104"/>
    <x v="1"/>
    <x v="1"/>
    <n v="3"/>
    <n v="3000"/>
    <n v="0"/>
    <n v="9000"/>
    <x v="1"/>
    <s v="Completed"/>
  </r>
  <r>
    <s v="O10070"/>
    <x v="24"/>
    <s v="E105"/>
    <x v="2"/>
    <x v="2"/>
    <s v="P104"/>
    <x v="1"/>
    <x v="1"/>
    <n v="3"/>
    <n v="3000"/>
    <n v="0.1"/>
    <n v="8100"/>
    <x v="3"/>
    <s v="Cancelled"/>
  </r>
  <r>
    <s v="O10071"/>
    <x v="15"/>
    <s v="E103"/>
    <x v="3"/>
    <x v="1"/>
    <s v="P102"/>
    <x v="0"/>
    <x v="0"/>
    <n v="3"/>
    <n v="60000"/>
    <n v="0.15"/>
    <n v="153000"/>
    <x v="1"/>
    <s v="Completed"/>
  </r>
  <r>
    <s v="O10072"/>
    <x v="17"/>
    <s v="E104"/>
    <x v="5"/>
    <x v="3"/>
    <s v="P105"/>
    <x v="4"/>
    <x v="2"/>
    <n v="5"/>
    <n v="9000"/>
    <n v="0"/>
    <n v="45000"/>
    <x v="1"/>
    <s v="Pending"/>
  </r>
  <r>
    <s v="O10073"/>
    <x v="15"/>
    <s v="E106"/>
    <x v="0"/>
    <x v="0"/>
    <s v="P103"/>
    <x v="6"/>
    <x v="1"/>
    <n v="5"/>
    <n v="1200"/>
    <n v="0.15"/>
    <n v="5100"/>
    <x v="1"/>
    <s v="Cancelled"/>
  </r>
  <r>
    <s v="O10074"/>
    <x v="21"/>
    <s v="E101"/>
    <x v="1"/>
    <x v="1"/>
    <s v="P105"/>
    <x v="4"/>
    <x v="2"/>
    <n v="3"/>
    <n v="9000"/>
    <n v="0"/>
    <n v="27000"/>
    <x v="2"/>
    <s v="Cancelled"/>
  </r>
  <r>
    <s v="O10075"/>
    <x v="20"/>
    <s v="E106"/>
    <x v="0"/>
    <x v="0"/>
    <s v="P106"/>
    <x v="3"/>
    <x v="2"/>
    <n v="4"/>
    <n v="12500"/>
    <n v="0.1"/>
    <n v="45000"/>
    <x v="0"/>
    <s v="Cancelled"/>
  </r>
  <r>
    <s v="O10076"/>
    <x v="2"/>
    <s v="E104"/>
    <x v="5"/>
    <x v="3"/>
    <s v="P103"/>
    <x v="6"/>
    <x v="1"/>
    <n v="1"/>
    <n v="1200"/>
    <n v="0.05"/>
    <n v="1140"/>
    <x v="2"/>
    <s v="Completed"/>
  </r>
  <r>
    <s v="O10077"/>
    <x v="27"/>
    <s v="E101"/>
    <x v="1"/>
    <x v="1"/>
    <s v="P104"/>
    <x v="1"/>
    <x v="1"/>
    <n v="3"/>
    <n v="3000"/>
    <n v="0"/>
    <n v="9000"/>
    <x v="0"/>
    <s v="Completed"/>
  </r>
  <r>
    <s v="O10078"/>
    <x v="14"/>
    <s v="E101"/>
    <x v="1"/>
    <x v="1"/>
    <s v="P101"/>
    <x v="2"/>
    <x v="0"/>
    <n v="2"/>
    <n v="65000"/>
    <n v="0.1"/>
    <n v="117000"/>
    <x v="4"/>
    <s v="Pending"/>
  </r>
  <r>
    <s v="O10079"/>
    <x v="4"/>
    <s v="E104"/>
    <x v="5"/>
    <x v="3"/>
    <s v="P104"/>
    <x v="1"/>
    <x v="1"/>
    <n v="4"/>
    <n v="3000"/>
    <n v="0.1"/>
    <n v="10800"/>
    <x v="0"/>
    <s v="Completed"/>
  </r>
  <r>
    <s v="O10080"/>
    <x v="0"/>
    <s v="E106"/>
    <x v="0"/>
    <x v="0"/>
    <s v="P101"/>
    <x v="2"/>
    <x v="0"/>
    <n v="1"/>
    <n v="65000"/>
    <n v="0.1"/>
    <n v="58500"/>
    <x v="0"/>
    <s v="Cancelled"/>
  </r>
  <r>
    <s v="O10081"/>
    <x v="10"/>
    <s v="E104"/>
    <x v="5"/>
    <x v="3"/>
    <s v="P101"/>
    <x v="2"/>
    <x v="0"/>
    <n v="5"/>
    <n v="65000"/>
    <n v="0"/>
    <n v="325000"/>
    <x v="4"/>
    <s v="Pending"/>
  </r>
  <r>
    <s v="O10082"/>
    <x v="14"/>
    <s v="E102"/>
    <x v="4"/>
    <x v="0"/>
    <s v="P108"/>
    <x v="5"/>
    <x v="1"/>
    <n v="5"/>
    <n v="4500"/>
    <n v="0.15"/>
    <n v="19125"/>
    <x v="3"/>
    <s v="Pending"/>
  </r>
  <r>
    <s v="O10083"/>
    <x v="12"/>
    <s v="E105"/>
    <x v="2"/>
    <x v="2"/>
    <s v="P107"/>
    <x v="7"/>
    <x v="1"/>
    <n v="5"/>
    <n v="3500"/>
    <n v="0.1"/>
    <n v="15750"/>
    <x v="0"/>
    <s v="Pending"/>
  </r>
  <r>
    <s v="O10084"/>
    <x v="16"/>
    <s v="E104"/>
    <x v="5"/>
    <x v="3"/>
    <s v="P105"/>
    <x v="4"/>
    <x v="2"/>
    <n v="2"/>
    <n v="9000"/>
    <n v="0.05"/>
    <n v="17100"/>
    <x v="2"/>
    <s v="Pending"/>
  </r>
  <r>
    <s v="O10085"/>
    <x v="24"/>
    <s v="E106"/>
    <x v="0"/>
    <x v="0"/>
    <s v="P104"/>
    <x v="1"/>
    <x v="1"/>
    <n v="3"/>
    <n v="3000"/>
    <n v="0.1"/>
    <n v="8100"/>
    <x v="3"/>
    <s v="Completed"/>
  </r>
  <r>
    <s v="O10086"/>
    <x v="24"/>
    <s v="E103"/>
    <x v="3"/>
    <x v="1"/>
    <s v="P106"/>
    <x v="3"/>
    <x v="2"/>
    <n v="3"/>
    <n v="12500"/>
    <n v="0.15"/>
    <n v="31875"/>
    <x v="0"/>
    <s v="Completed"/>
  </r>
  <r>
    <s v="O10087"/>
    <x v="24"/>
    <s v="E102"/>
    <x v="4"/>
    <x v="0"/>
    <s v="P107"/>
    <x v="7"/>
    <x v="1"/>
    <n v="2"/>
    <n v="3500"/>
    <n v="0"/>
    <n v="7000"/>
    <x v="1"/>
    <s v="Pending"/>
  </r>
  <r>
    <s v="O10088"/>
    <x v="17"/>
    <s v="E103"/>
    <x v="3"/>
    <x v="1"/>
    <s v="P108"/>
    <x v="5"/>
    <x v="1"/>
    <n v="4"/>
    <n v="4500"/>
    <n v="0"/>
    <n v="18000"/>
    <x v="1"/>
    <s v="Pending"/>
  </r>
  <r>
    <s v="O10089"/>
    <x v="13"/>
    <s v="E105"/>
    <x v="2"/>
    <x v="2"/>
    <s v="P101"/>
    <x v="2"/>
    <x v="0"/>
    <n v="5"/>
    <n v="65000"/>
    <n v="0.1"/>
    <n v="292500"/>
    <x v="4"/>
    <s v="Completed"/>
  </r>
  <r>
    <s v="O10090"/>
    <x v="22"/>
    <s v="E103"/>
    <x v="3"/>
    <x v="1"/>
    <s v="P107"/>
    <x v="7"/>
    <x v="1"/>
    <n v="4"/>
    <n v="3500"/>
    <n v="0.15"/>
    <n v="11900"/>
    <x v="2"/>
    <s v="Cancelled"/>
  </r>
  <r>
    <s v="O10091"/>
    <x v="21"/>
    <s v="E102"/>
    <x v="4"/>
    <x v="0"/>
    <s v="P108"/>
    <x v="5"/>
    <x v="1"/>
    <n v="2"/>
    <n v="4500"/>
    <n v="0.05"/>
    <n v="8550"/>
    <x v="1"/>
    <s v="Completed"/>
  </r>
  <r>
    <s v="O10092"/>
    <x v="9"/>
    <s v="E104"/>
    <x v="5"/>
    <x v="3"/>
    <s v="P106"/>
    <x v="3"/>
    <x v="2"/>
    <n v="4"/>
    <n v="12500"/>
    <n v="0"/>
    <n v="50000"/>
    <x v="1"/>
    <s v="Completed"/>
  </r>
  <r>
    <s v="O10093"/>
    <x v="1"/>
    <s v="E105"/>
    <x v="2"/>
    <x v="2"/>
    <s v="P101"/>
    <x v="2"/>
    <x v="0"/>
    <n v="4"/>
    <n v="65000"/>
    <n v="0.15"/>
    <n v="221000"/>
    <x v="4"/>
    <s v="Completed"/>
  </r>
  <r>
    <s v="O10094"/>
    <x v="7"/>
    <s v="E106"/>
    <x v="0"/>
    <x v="0"/>
    <s v="P107"/>
    <x v="7"/>
    <x v="1"/>
    <n v="2"/>
    <n v="3500"/>
    <n v="0.1"/>
    <n v="6300"/>
    <x v="4"/>
    <s v="Completed"/>
  </r>
  <r>
    <s v="O10095"/>
    <x v="3"/>
    <s v="E104"/>
    <x v="5"/>
    <x v="3"/>
    <s v="P106"/>
    <x v="3"/>
    <x v="2"/>
    <n v="2"/>
    <n v="12500"/>
    <n v="0.1"/>
    <n v="22500"/>
    <x v="3"/>
    <s v="Pending"/>
  </r>
  <r>
    <s v="O10096"/>
    <x v="13"/>
    <s v="E103"/>
    <x v="3"/>
    <x v="1"/>
    <s v="P107"/>
    <x v="7"/>
    <x v="1"/>
    <n v="3"/>
    <n v="3500"/>
    <n v="0"/>
    <n v="10500"/>
    <x v="4"/>
    <s v="Cancelled"/>
  </r>
  <r>
    <s v="O10097"/>
    <x v="16"/>
    <s v="E101"/>
    <x v="1"/>
    <x v="1"/>
    <s v="P106"/>
    <x v="3"/>
    <x v="2"/>
    <n v="2"/>
    <n v="12500"/>
    <n v="0"/>
    <n v="25000"/>
    <x v="4"/>
    <s v="Completed"/>
  </r>
  <r>
    <s v="O10098"/>
    <x v="11"/>
    <s v="E102"/>
    <x v="4"/>
    <x v="0"/>
    <s v="P104"/>
    <x v="1"/>
    <x v="1"/>
    <n v="1"/>
    <n v="3000"/>
    <n v="0.15"/>
    <n v="2550"/>
    <x v="0"/>
    <s v="Completed"/>
  </r>
  <r>
    <s v="O10099"/>
    <x v="20"/>
    <s v="E104"/>
    <x v="5"/>
    <x v="3"/>
    <s v="P102"/>
    <x v="0"/>
    <x v="0"/>
    <n v="5"/>
    <n v="60000"/>
    <n v="0"/>
    <n v="300000"/>
    <x v="3"/>
    <s v="Completed"/>
  </r>
  <r>
    <s v="O10100"/>
    <x v="26"/>
    <s v="E102"/>
    <x v="4"/>
    <x v="0"/>
    <s v="P102"/>
    <x v="0"/>
    <x v="0"/>
    <n v="2"/>
    <n v="60000"/>
    <n v="0.05"/>
    <n v="114000"/>
    <x v="2"/>
    <s v="Completed"/>
  </r>
  <r>
    <s v="O10101"/>
    <x v="24"/>
    <s v="E103"/>
    <x v="3"/>
    <x v="1"/>
    <s v="P107"/>
    <x v="7"/>
    <x v="1"/>
    <n v="4"/>
    <n v="3500"/>
    <n v="0"/>
    <n v="14000"/>
    <x v="2"/>
    <s v="Completed"/>
  </r>
  <r>
    <s v="O10102"/>
    <x v="27"/>
    <s v="E101"/>
    <x v="1"/>
    <x v="1"/>
    <s v="P105"/>
    <x v="4"/>
    <x v="2"/>
    <n v="5"/>
    <n v="9000"/>
    <n v="0"/>
    <n v="45000"/>
    <x v="2"/>
    <s v="Completed"/>
  </r>
  <r>
    <s v="O10103"/>
    <x v="2"/>
    <s v="E103"/>
    <x v="3"/>
    <x v="1"/>
    <s v="P107"/>
    <x v="7"/>
    <x v="1"/>
    <n v="3"/>
    <n v="3500"/>
    <n v="0"/>
    <n v="10500"/>
    <x v="3"/>
    <s v="Completed"/>
  </r>
  <r>
    <s v="O10104"/>
    <x v="28"/>
    <s v="E104"/>
    <x v="5"/>
    <x v="3"/>
    <s v="P108"/>
    <x v="5"/>
    <x v="1"/>
    <n v="1"/>
    <n v="4500"/>
    <n v="0.1"/>
    <n v="4050"/>
    <x v="4"/>
    <s v="Completed"/>
  </r>
  <r>
    <s v="O10105"/>
    <x v="14"/>
    <s v="E104"/>
    <x v="5"/>
    <x v="3"/>
    <s v="P103"/>
    <x v="6"/>
    <x v="1"/>
    <n v="5"/>
    <n v="1200"/>
    <n v="0.05"/>
    <n v="5700"/>
    <x v="2"/>
    <s v="Pending"/>
  </r>
  <r>
    <s v="O10106"/>
    <x v="3"/>
    <s v="E104"/>
    <x v="5"/>
    <x v="3"/>
    <s v="P107"/>
    <x v="7"/>
    <x v="1"/>
    <n v="5"/>
    <n v="3500"/>
    <n v="0.05"/>
    <n v="16625"/>
    <x v="0"/>
    <s v="Completed"/>
  </r>
  <r>
    <s v="O10107"/>
    <x v="1"/>
    <s v="E103"/>
    <x v="3"/>
    <x v="1"/>
    <s v="P108"/>
    <x v="5"/>
    <x v="1"/>
    <n v="2"/>
    <n v="4500"/>
    <n v="0.1"/>
    <n v="8100"/>
    <x v="2"/>
    <s v="Pending"/>
  </r>
  <r>
    <s v="O10108"/>
    <x v="7"/>
    <s v="E103"/>
    <x v="3"/>
    <x v="1"/>
    <s v="P101"/>
    <x v="2"/>
    <x v="0"/>
    <n v="4"/>
    <n v="65000"/>
    <n v="0.05"/>
    <n v="247000"/>
    <x v="1"/>
    <s v="Completed"/>
  </r>
  <r>
    <s v="O10109"/>
    <x v="12"/>
    <s v="E103"/>
    <x v="3"/>
    <x v="1"/>
    <s v="P105"/>
    <x v="4"/>
    <x v="2"/>
    <n v="3"/>
    <n v="9000"/>
    <n v="0.05"/>
    <n v="25650"/>
    <x v="2"/>
    <s v="Completed"/>
  </r>
  <r>
    <s v="O10110"/>
    <x v="24"/>
    <s v="E105"/>
    <x v="2"/>
    <x v="2"/>
    <s v="P101"/>
    <x v="2"/>
    <x v="0"/>
    <n v="5"/>
    <n v="65000"/>
    <n v="0"/>
    <n v="65000"/>
    <x v="0"/>
    <s v="Pending"/>
  </r>
  <r>
    <s v="O10111"/>
    <x v="20"/>
    <s v="E104"/>
    <x v="5"/>
    <x v="3"/>
    <s v="P104"/>
    <x v="1"/>
    <x v="1"/>
    <n v="4"/>
    <n v="3000"/>
    <n v="0.1"/>
    <n v="10800"/>
    <x v="4"/>
    <s v="Completed"/>
  </r>
  <r>
    <s v="O10112"/>
    <x v="15"/>
    <s v="E103"/>
    <x v="3"/>
    <x v="1"/>
    <s v="P104"/>
    <x v="1"/>
    <x v="1"/>
    <n v="4"/>
    <n v="3000"/>
    <n v="0"/>
    <n v="12000"/>
    <x v="2"/>
    <s v="Completed"/>
  </r>
  <r>
    <s v="O10113"/>
    <x v="3"/>
    <s v="E104"/>
    <x v="5"/>
    <x v="3"/>
    <s v="P106"/>
    <x v="3"/>
    <x v="2"/>
    <n v="4"/>
    <n v="12500"/>
    <n v="0.15"/>
    <n v="42500"/>
    <x v="3"/>
    <s v="Pending"/>
  </r>
  <r>
    <s v="O10114"/>
    <x v="26"/>
    <s v="E103"/>
    <x v="3"/>
    <x v="1"/>
    <s v="P105"/>
    <x v="4"/>
    <x v="2"/>
    <n v="3"/>
    <n v="9000"/>
    <n v="0"/>
    <n v="27000"/>
    <x v="0"/>
    <s v="Completed"/>
  </r>
  <r>
    <s v="O10115"/>
    <x v="22"/>
    <s v="E101"/>
    <x v="1"/>
    <x v="1"/>
    <s v="P103"/>
    <x v="6"/>
    <x v="1"/>
    <n v="2"/>
    <n v="1200"/>
    <n v="0"/>
    <n v="2400"/>
    <x v="1"/>
    <s v="Completed"/>
  </r>
  <r>
    <s v="O10116"/>
    <x v="15"/>
    <s v="E106"/>
    <x v="0"/>
    <x v="0"/>
    <s v="P105"/>
    <x v="4"/>
    <x v="2"/>
    <n v="1"/>
    <n v="9000"/>
    <n v="0"/>
    <n v="9000"/>
    <x v="0"/>
    <s v="Completed"/>
  </r>
  <r>
    <s v="O10117"/>
    <x v="11"/>
    <s v="E102"/>
    <x v="4"/>
    <x v="0"/>
    <s v="P105"/>
    <x v="4"/>
    <x v="2"/>
    <n v="1"/>
    <n v="9000"/>
    <n v="0.15"/>
    <n v="7650"/>
    <x v="3"/>
    <s v="Completed"/>
  </r>
  <r>
    <s v="O10118"/>
    <x v="26"/>
    <s v="E101"/>
    <x v="1"/>
    <x v="1"/>
    <s v="P105"/>
    <x v="4"/>
    <x v="2"/>
    <n v="2"/>
    <n v="9000"/>
    <n v="0.1"/>
    <n v="16200"/>
    <x v="4"/>
    <s v="Cancelled"/>
  </r>
  <r>
    <s v="O10119"/>
    <x v="3"/>
    <s v="E999"/>
    <x v="3"/>
    <x v="1"/>
    <s v="P108"/>
    <x v="5"/>
    <x v="1"/>
    <n v="4"/>
    <n v="4500"/>
    <n v="0.1"/>
    <n v="16200"/>
    <x v="0"/>
    <s v="Completed"/>
  </r>
  <r>
    <s v="O10120"/>
    <x v="4"/>
    <s v="E103"/>
    <x v="3"/>
    <x v="1"/>
    <s v="P108"/>
    <x v="5"/>
    <x v="1"/>
    <n v="1"/>
    <n v="4500"/>
    <n v="0"/>
    <n v="4500"/>
    <x v="1"/>
    <s v="Completed"/>
  </r>
  <r>
    <s v="O10121"/>
    <x v="27"/>
    <s v="E105"/>
    <x v="2"/>
    <x v="2"/>
    <s v="P101"/>
    <x v="2"/>
    <x v="0"/>
    <n v="2"/>
    <n v="65000"/>
    <n v="0"/>
    <n v="130000"/>
    <x v="2"/>
    <s v="Completed"/>
  </r>
  <r>
    <s v="O10122"/>
    <x v="20"/>
    <s v="E101"/>
    <x v="1"/>
    <x v="1"/>
    <s v="P104"/>
    <x v="1"/>
    <x v="1"/>
    <n v="1"/>
    <n v="3000"/>
    <n v="0.15"/>
    <n v="2550"/>
    <x v="1"/>
    <s v="Cancelled"/>
  </r>
  <r>
    <s v="O10123"/>
    <x v="20"/>
    <s v="E105"/>
    <x v="2"/>
    <x v="2"/>
    <s v="P104"/>
    <x v="1"/>
    <x v="1"/>
    <n v="5"/>
    <n v="3000"/>
    <n v="0.1"/>
    <n v="13500"/>
    <x v="1"/>
    <s v="Completed"/>
  </r>
  <r>
    <s v="O10124"/>
    <x v="14"/>
    <s v="E105"/>
    <x v="2"/>
    <x v="2"/>
    <s v="P107"/>
    <x v="7"/>
    <x v="1"/>
    <n v="3"/>
    <n v="3500"/>
    <n v="0.15"/>
    <n v="8925"/>
    <x v="4"/>
    <s v="Cancelled"/>
  </r>
  <r>
    <s v="O10125"/>
    <x v="18"/>
    <s v="E106"/>
    <x v="0"/>
    <x v="0"/>
    <s v="P102"/>
    <x v="0"/>
    <x v="0"/>
    <n v="2"/>
    <n v="60000"/>
    <n v="0"/>
    <n v="120000"/>
    <x v="4"/>
    <s v="Completed"/>
  </r>
  <r>
    <s v="O10126"/>
    <x v="7"/>
    <s v="E102"/>
    <x v="4"/>
    <x v="0"/>
    <s v="P103"/>
    <x v="6"/>
    <x v="1"/>
    <n v="5"/>
    <n v="1200"/>
    <n v="0"/>
    <n v="6000"/>
    <x v="4"/>
    <s v="Pending"/>
  </r>
  <r>
    <s v="O10127"/>
    <x v="0"/>
    <s v="E104"/>
    <x v="5"/>
    <x v="3"/>
    <s v="P108"/>
    <x v="5"/>
    <x v="1"/>
    <n v="3"/>
    <n v="4500"/>
    <n v="0"/>
    <n v="13500"/>
    <x v="3"/>
    <s v="Completed"/>
  </r>
  <r>
    <s v="O10128"/>
    <x v="10"/>
    <s v="E106"/>
    <x v="0"/>
    <x v="0"/>
    <s v="P108"/>
    <x v="5"/>
    <x v="1"/>
    <n v="1"/>
    <n v="4500"/>
    <n v="0"/>
    <n v="4500"/>
    <x v="3"/>
    <s v="Cancelled"/>
  </r>
  <r>
    <s v="O10129"/>
    <x v="5"/>
    <s v="E106"/>
    <x v="0"/>
    <x v="0"/>
    <s v="P104"/>
    <x v="1"/>
    <x v="1"/>
    <n v="4"/>
    <n v="3000"/>
    <n v="0"/>
    <n v="12000"/>
    <x v="0"/>
    <s v="Completed"/>
  </r>
  <r>
    <s v="O10130"/>
    <x v="7"/>
    <s v="E103"/>
    <x v="3"/>
    <x v="1"/>
    <s v="P103"/>
    <x v="6"/>
    <x v="1"/>
    <n v="1"/>
    <n v="1200"/>
    <n v="0"/>
    <n v="1200"/>
    <x v="3"/>
    <s v="Cancelled"/>
  </r>
  <r>
    <s v=" O10131 "/>
    <x v="20"/>
    <s v="E106"/>
    <x v="0"/>
    <x v="0"/>
    <s v="P105"/>
    <x v="4"/>
    <x v="2"/>
    <n v="4"/>
    <n v="9000"/>
    <n v="0"/>
    <n v="36000"/>
    <x v="3"/>
    <s v="Pending"/>
  </r>
  <r>
    <s v="O10132"/>
    <x v="14"/>
    <s v="E103"/>
    <x v="3"/>
    <x v="1"/>
    <s v="P108"/>
    <x v="5"/>
    <x v="1"/>
    <n v="4"/>
    <n v="4500"/>
    <n v="0"/>
    <n v="18000"/>
    <x v="4"/>
    <s v="Pending"/>
  </r>
  <r>
    <s v="O10133"/>
    <x v="29"/>
    <s v="E106"/>
    <x v="0"/>
    <x v="0"/>
    <s v="P106"/>
    <x v="3"/>
    <x v="2"/>
    <n v="5"/>
    <n v="12500"/>
    <n v="0.05"/>
    <n v="59375"/>
    <x v="4"/>
    <s v="Completed"/>
  </r>
  <r>
    <s v="O10134"/>
    <x v="23"/>
    <s v="E106"/>
    <x v="0"/>
    <x v="0"/>
    <s v="P101"/>
    <x v="2"/>
    <x v="0"/>
    <n v="3"/>
    <n v="65000"/>
    <n v="0.15"/>
    <n v="165750"/>
    <x v="0"/>
    <s v="Pending"/>
  </r>
  <r>
    <s v="O10135"/>
    <x v="1"/>
    <s v="E105"/>
    <x v="2"/>
    <x v="2"/>
    <s v="P108"/>
    <x v="5"/>
    <x v="1"/>
    <n v="3"/>
    <n v="4500"/>
    <n v="0"/>
    <n v="13500"/>
    <x v="1"/>
    <s v="Pending"/>
  </r>
  <r>
    <s v="O10136"/>
    <x v="3"/>
    <s v="E101"/>
    <x v="1"/>
    <x v="1"/>
    <s v="P108"/>
    <x v="5"/>
    <x v="1"/>
    <n v="3"/>
    <n v="4500"/>
    <n v="0.1"/>
    <n v="12150"/>
    <x v="3"/>
    <s v="Completed"/>
  </r>
  <r>
    <s v="O10137"/>
    <x v="15"/>
    <s v="E102"/>
    <x v="4"/>
    <x v="0"/>
    <s v="P106"/>
    <x v="3"/>
    <x v="2"/>
    <n v="4"/>
    <n v="12500"/>
    <n v="0.1"/>
    <n v="45000"/>
    <x v="1"/>
    <s v="Cancelled"/>
  </r>
  <r>
    <s v="O10138"/>
    <x v="18"/>
    <s v="E101"/>
    <x v="1"/>
    <x v="1"/>
    <s v="P108"/>
    <x v="5"/>
    <x v="1"/>
    <n v="1"/>
    <n v="4500"/>
    <n v="0.05"/>
    <n v="4275"/>
    <x v="3"/>
    <s v="Completed"/>
  </r>
  <r>
    <s v="O10139"/>
    <x v="21"/>
    <s v="E104"/>
    <x v="5"/>
    <x v="3"/>
    <s v="P101"/>
    <x v="2"/>
    <x v="0"/>
    <n v="5"/>
    <n v="65000"/>
    <n v="0.1"/>
    <n v="292500"/>
    <x v="4"/>
    <s v="Completed"/>
  </r>
  <r>
    <s v="O10140"/>
    <x v="8"/>
    <s v="E105"/>
    <x v="2"/>
    <x v="2"/>
    <s v="P106"/>
    <x v="3"/>
    <x v="2"/>
    <n v="5"/>
    <n v="12500"/>
    <n v="0.1"/>
    <n v="56250"/>
    <x v="1"/>
    <s v="Completed"/>
  </r>
  <r>
    <s v="O10142"/>
    <x v="8"/>
    <s v="E106"/>
    <x v="0"/>
    <x v="0"/>
    <s v="P108"/>
    <x v="5"/>
    <x v="1"/>
    <n v="1"/>
    <n v="4500"/>
    <n v="0"/>
    <n v="4500"/>
    <x v="2"/>
    <s v="Completed"/>
  </r>
  <r>
    <s v="O10143"/>
    <x v="29"/>
    <s v="E106"/>
    <x v="0"/>
    <x v="0"/>
    <s v="P103"/>
    <x v="6"/>
    <x v="1"/>
    <n v="3"/>
    <n v="1200"/>
    <n v="0.15"/>
    <n v="3060"/>
    <x v="2"/>
    <s v="Pending"/>
  </r>
  <r>
    <s v="O10144"/>
    <x v="26"/>
    <s v="E101"/>
    <x v="1"/>
    <x v="1"/>
    <s v="P104"/>
    <x v="1"/>
    <x v="1"/>
    <n v="1"/>
    <n v="3000"/>
    <n v="0.1"/>
    <n v="2700"/>
    <x v="0"/>
    <s v="Pending"/>
  </r>
  <r>
    <s v="O10145"/>
    <x v="21"/>
    <s v="E106"/>
    <x v="0"/>
    <x v="0"/>
    <s v="P105"/>
    <x v="4"/>
    <x v="2"/>
    <n v="5"/>
    <n v="9000"/>
    <n v="0.05"/>
    <n v="42750"/>
    <x v="1"/>
    <s v="Pending"/>
  </r>
  <r>
    <s v="O10146"/>
    <x v="4"/>
    <s v="E102"/>
    <x v="4"/>
    <x v="0"/>
    <s v="P108"/>
    <x v="5"/>
    <x v="1"/>
    <n v="5"/>
    <n v="4500"/>
    <n v="0"/>
    <n v="22500"/>
    <x v="0"/>
    <s v="Cancelled"/>
  </r>
  <r>
    <s v="O10147"/>
    <x v="16"/>
    <s v="E105"/>
    <x v="2"/>
    <x v="2"/>
    <s v="P103"/>
    <x v="6"/>
    <x v="1"/>
    <n v="1"/>
    <n v="1200"/>
    <n v="0.05"/>
    <n v="1140"/>
    <x v="1"/>
    <s v="Completed"/>
  </r>
  <r>
    <s v="O10148"/>
    <x v="22"/>
    <s v="E105"/>
    <x v="2"/>
    <x v="2"/>
    <s v="P105"/>
    <x v="4"/>
    <x v="2"/>
    <n v="1"/>
    <n v="9000"/>
    <n v="0.05"/>
    <n v="8550"/>
    <x v="3"/>
    <s v="Cancelled"/>
  </r>
  <r>
    <s v="O10149"/>
    <x v="5"/>
    <s v="E105"/>
    <x v="2"/>
    <x v="2"/>
    <s v="P108"/>
    <x v="5"/>
    <x v="1"/>
    <n v="2"/>
    <n v="4500"/>
    <n v="0.1"/>
    <n v="8100"/>
    <x v="1"/>
    <s v="Completed"/>
  </r>
  <r>
    <s v="O10150"/>
    <x v="6"/>
    <s v="E103"/>
    <x v="3"/>
    <x v="1"/>
    <s v="P107"/>
    <x v="7"/>
    <x v="1"/>
    <n v="4"/>
    <n v="3500"/>
    <n v="0.05"/>
    <n v="13300"/>
    <x v="0"/>
    <s v="Complet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F3EB1F-E04A-470A-BFC1-F957309D9932}" name="PivotTable2" cacheId="1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2:B19" firstHeaderRow="1" firstDataRow="1" firstDataCol="1"/>
  <pivotFields count="16">
    <pivotField showAll="0"/>
    <pivotField showAll="0">
      <items count="31">
        <item x="29"/>
        <item x="23"/>
        <item x="24"/>
        <item x="26"/>
        <item x="11"/>
        <item x="7"/>
        <item x="17"/>
        <item x="0"/>
        <item x="18"/>
        <item x="15"/>
        <item x="3"/>
        <item x="28"/>
        <item x="4"/>
        <item x="21"/>
        <item x="20"/>
        <item x="13"/>
        <item x="2"/>
        <item x="5"/>
        <item x="1"/>
        <item x="14"/>
        <item x="8"/>
        <item x="25"/>
        <item x="19"/>
        <item x="22"/>
        <item x="16"/>
        <item x="27"/>
        <item x="9"/>
        <item x="6"/>
        <item x="12"/>
        <item x="10"/>
        <item t="default"/>
      </items>
    </pivotField>
    <pivotField showAll="0"/>
    <pivotField axis="axisRow" showAll="0" sortType="descending">
      <items count="7">
        <item x="1"/>
        <item x="5"/>
        <item x="3"/>
        <item x="0"/>
        <item x="4"/>
        <item x="2"/>
        <item t="default"/>
      </items>
      <autoSortScope>
        <pivotArea dataOnly="0" outline="0" fieldPosition="0">
          <references count="1">
            <reference field="4294967294" count="1" selected="0">
              <x v="0"/>
            </reference>
          </references>
        </pivotArea>
      </autoSortScope>
    </pivotField>
    <pivotField showAll="0">
      <items count="5">
        <item x="3"/>
        <item x="1"/>
        <item x="2"/>
        <item x="0"/>
        <item t="default"/>
      </items>
    </pivotField>
    <pivotField showAll="0"/>
    <pivotField showAll="0"/>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0"/>
        <item x="1"/>
        <item x="2"/>
        <item x="3"/>
        <item x="4"/>
        <item x="5"/>
        <item t="default"/>
      </items>
    </pivotField>
  </pivotFields>
  <rowFields count="1">
    <field x="3"/>
  </rowFields>
  <rowItems count="7">
    <i>
      <x v="1"/>
    </i>
    <i>
      <x v="5"/>
    </i>
    <i>
      <x v="3"/>
    </i>
    <i>
      <x v="4"/>
    </i>
    <i>
      <x/>
    </i>
    <i>
      <x v="2"/>
    </i>
    <i t="grand">
      <x/>
    </i>
  </rowItems>
  <colItems count="1">
    <i/>
  </colItems>
  <dataFields count="1">
    <dataField name="Sum of Sales_Amoun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C0D671-D71A-4CD3-AC73-364C684535B2}" name="PivotTable1" cacheId="1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D8" firstHeaderRow="0" firstDataRow="1" firstDataCol="1"/>
  <pivotFields count="16">
    <pivotField showAll="0"/>
    <pivotField showAll="0">
      <items count="31">
        <item x="29"/>
        <item x="23"/>
        <item x="24"/>
        <item x="26"/>
        <item x="11"/>
        <item x="7"/>
        <item x="17"/>
        <item x="0"/>
        <item x="18"/>
        <item x="15"/>
        <item x="3"/>
        <item x="28"/>
        <item x="4"/>
        <item x="21"/>
        <item x="20"/>
        <item x="13"/>
        <item x="2"/>
        <item x="5"/>
        <item x="1"/>
        <item x="14"/>
        <item x="8"/>
        <item x="25"/>
        <item x="19"/>
        <item x="22"/>
        <item x="16"/>
        <item x="27"/>
        <item x="9"/>
        <item x="6"/>
        <item x="12"/>
        <item x="10"/>
        <item t="default"/>
      </items>
    </pivotField>
    <pivotField showAll="0"/>
    <pivotField showAll="0">
      <items count="7">
        <item x="1"/>
        <item x="5"/>
        <item x="3"/>
        <item x="0"/>
        <item x="4"/>
        <item x="2"/>
        <item t="default"/>
      </items>
    </pivotField>
    <pivotField axis="axisRow" showAll="0">
      <items count="5">
        <item x="3"/>
        <item x="1"/>
        <item x="2"/>
        <item x="0"/>
        <item t="default"/>
      </items>
    </pivotField>
    <pivotField showAll="0"/>
    <pivotField showAll="0"/>
    <pivotField showAll="0"/>
    <pivotField dataField="1"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0"/>
        <item x="1"/>
        <item x="2"/>
        <item x="3"/>
        <item x="4"/>
        <item x="5"/>
        <item t="default"/>
      </items>
    </pivotField>
  </pivotFields>
  <rowFields count="1">
    <field x="4"/>
  </rowFields>
  <rowItems count="5">
    <i>
      <x/>
    </i>
    <i>
      <x v="1"/>
    </i>
    <i>
      <x v="2"/>
    </i>
    <i>
      <x v="3"/>
    </i>
    <i t="grand">
      <x/>
    </i>
  </rowItems>
  <colFields count="1">
    <field x="-2"/>
  </colFields>
  <colItems count="3">
    <i>
      <x/>
    </i>
    <i i="1">
      <x v="1"/>
    </i>
    <i i="2">
      <x v="2"/>
    </i>
  </colItems>
  <dataFields count="3">
    <dataField name="Sum of Sales_Amount" fld="11" baseField="0" baseItem="0"/>
    <dataField name="Sum of Quantity" fld="8" baseField="0" baseItem="0"/>
    <dataField name="Average of Sales_Amount2" fld="1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BEC3FB-8C70-412B-8E8D-3CDFDADD8F63}" name="PivotTable6" cacheId="1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27:E33" firstHeaderRow="1" firstDataRow="2" firstDataCol="1"/>
  <pivotFields count="16">
    <pivotField showAll="0"/>
    <pivotField showAll="0">
      <items count="31">
        <item x="29"/>
        <item x="23"/>
        <item x="24"/>
        <item x="26"/>
        <item x="11"/>
        <item x="7"/>
        <item x="17"/>
        <item x="0"/>
        <item x="18"/>
        <item x="15"/>
        <item x="3"/>
        <item x="28"/>
        <item x="4"/>
        <item x="21"/>
        <item x="20"/>
        <item x="13"/>
        <item x="2"/>
        <item x="5"/>
        <item x="1"/>
        <item x="14"/>
        <item x="8"/>
        <item x="25"/>
        <item x="19"/>
        <item x="22"/>
        <item x="16"/>
        <item x="27"/>
        <item x="9"/>
        <item x="6"/>
        <item x="12"/>
        <item x="10"/>
        <item t="default"/>
      </items>
    </pivotField>
    <pivotField showAll="0"/>
    <pivotField showAll="0">
      <items count="7">
        <item x="1"/>
        <item x="5"/>
        <item x="3"/>
        <item x="0"/>
        <item x="4"/>
        <item x="2"/>
        <item t="default"/>
      </items>
    </pivotField>
    <pivotField axis="axisRow" showAll="0">
      <items count="5">
        <item x="3"/>
        <item x="1"/>
        <item x="2"/>
        <item x="0"/>
        <item t="default"/>
      </items>
    </pivotField>
    <pivotField showAll="0"/>
    <pivotField showAll="0">
      <items count="9">
        <item x="4"/>
        <item x="3"/>
        <item x="0"/>
        <item x="2"/>
        <item x="1"/>
        <item x="5"/>
        <item x="7"/>
        <item x="6"/>
        <item t="default"/>
      </items>
    </pivotField>
    <pivotField axis="axisCol" showAll="0">
      <items count="4">
        <item x="1"/>
        <item x="0"/>
        <item x="2"/>
        <item t="default"/>
      </items>
    </pivotField>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0"/>
        <item x="1"/>
        <item x="2"/>
        <item x="3"/>
        <item x="4"/>
        <item x="5"/>
        <item t="default"/>
      </items>
    </pivotField>
  </pivotFields>
  <rowFields count="1">
    <field x="4"/>
  </rowFields>
  <rowItems count="5">
    <i>
      <x/>
    </i>
    <i>
      <x v="1"/>
    </i>
    <i>
      <x v="2"/>
    </i>
    <i>
      <x v="3"/>
    </i>
    <i t="grand">
      <x/>
    </i>
  </rowItems>
  <colFields count="1">
    <field x="7"/>
  </colFields>
  <colItems count="4">
    <i>
      <x/>
    </i>
    <i>
      <x v="1"/>
    </i>
    <i>
      <x v="2"/>
    </i>
    <i t="grand">
      <x/>
    </i>
  </colItems>
  <dataFields count="1">
    <dataField name="Sum of Sales_Amount" fld="11" baseField="0" baseItem="0"/>
  </dataFields>
  <formats count="1">
    <format dxfId="13">
      <pivotArea dataOnly="0" labelOnly="1" grandRow="1" outline="0" fieldPosition="0"/>
    </format>
  </formats>
  <chartFormats count="3">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6AC88F-E067-492A-8B63-211B893552BD}" name="PivotTable3" cacheId="1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12" firstHeaderRow="0" firstDataRow="1" firstDataCol="1"/>
  <pivotFields count="16">
    <pivotField showAll="0"/>
    <pivotField showAll="0">
      <items count="31">
        <item x="29"/>
        <item x="23"/>
        <item x="24"/>
        <item x="26"/>
        <item x="11"/>
        <item x="7"/>
        <item x="17"/>
        <item x="0"/>
        <item x="18"/>
        <item x="15"/>
        <item x="3"/>
        <item x="28"/>
        <item x="4"/>
        <item x="21"/>
        <item x="20"/>
        <item x="13"/>
        <item x="2"/>
        <item x="5"/>
        <item x="1"/>
        <item x="14"/>
        <item x="8"/>
        <item x="25"/>
        <item x="19"/>
        <item x="22"/>
        <item x="16"/>
        <item x="27"/>
        <item x="9"/>
        <item x="6"/>
        <item x="12"/>
        <item x="10"/>
        <item t="default"/>
      </items>
    </pivotField>
    <pivotField showAll="0"/>
    <pivotField showAll="0">
      <items count="7">
        <item x="1"/>
        <item x="5"/>
        <item x="3"/>
        <item x="0"/>
        <item x="4"/>
        <item x="2"/>
        <item t="default"/>
      </items>
    </pivotField>
    <pivotField showAll="0">
      <items count="5">
        <item x="3"/>
        <item x="1"/>
        <item x="2"/>
        <item x="0"/>
        <item t="default"/>
      </items>
    </pivotField>
    <pivotField showAll="0"/>
    <pivotField axis="axisRow" showAll="0" sortType="descending">
      <items count="9">
        <item x="4"/>
        <item x="3"/>
        <item x="0"/>
        <item x="2"/>
        <item x="1"/>
        <item x="5"/>
        <item x="7"/>
        <item x="6"/>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0"/>
        <item x="1"/>
        <item x="2"/>
        <item x="3"/>
        <item x="4"/>
        <item x="5"/>
        <item t="default"/>
      </items>
    </pivotField>
  </pivotFields>
  <rowFields count="1">
    <field x="6"/>
  </rowFields>
  <rowItems count="9">
    <i>
      <x v="3"/>
    </i>
    <i>
      <x v="2"/>
    </i>
    <i>
      <x/>
    </i>
    <i>
      <x v="1"/>
    </i>
    <i>
      <x v="5"/>
    </i>
    <i>
      <x v="4"/>
    </i>
    <i>
      <x v="6"/>
    </i>
    <i>
      <x v="7"/>
    </i>
    <i t="grand">
      <x/>
    </i>
  </rowItems>
  <colFields count="1">
    <field x="-2"/>
  </colFields>
  <colItems count="2">
    <i>
      <x/>
    </i>
    <i i="1">
      <x v="1"/>
    </i>
  </colItems>
  <dataFields count="2">
    <dataField name="Sum of Sales_Amount" fld="11" baseField="0" baseItem="0"/>
    <dataField name="Sum of Quantity" fld="8" baseField="0" baseItem="0"/>
  </dataFields>
  <formats count="1">
    <format dxfId="14">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1A6F49-13B8-4673-9750-4E7E4B21A654}" name="PivotTable11" cacheId="1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83:B98" firstHeaderRow="1" firstDataRow="1" firstDataCol="1"/>
  <pivotFields count="16">
    <pivotField showAll="0"/>
    <pivotField showAll="0">
      <items count="31">
        <item x="29"/>
        <item x="23"/>
        <item x="24"/>
        <item x="26"/>
        <item x="11"/>
        <item x="7"/>
        <item x="17"/>
        <item x="0"/>
        <item x="18"/>
        <item x="15"/>
        <item x="3"/>
        <item x="28"/>
        <item x="4"/>
        <item x="21"/>
        <item x="20"/>
        <item x="13"/>
        <item x="2"/>
        <item x="5"/>
        <item x="1"/>
        <item x="14"/>
        <item x="8"/>
        <item x="25"/>
        <item x="19"/>
        <item x="22"/>
        <item x="16"/>
        <item x="27"/>
        <item x="9"/>
        <item x="6"/>
        <item x="12"/>
        <item x="10"/>
        <item t="default"/>
      </items>
    </pivotField>
    <pivotField showAll="0"/>
    <pivotField axis="axisRow" showAll="0" sortType="descending">
      <items count="7">
        <item x="1"/>
        <item x="5"/>
        <item x="3"/>
        <item x="0"/>
        <item x="4"/>
        <item x="2"/>
        <item t="default"/>
      </items>
      <autoSortScope>
        <pivotArea dataOnly="0" outline="0" fieldPosition="0">
          <references count="1">
            <reference field="4294967294" count="1" selected="0">
              <x v="0"/>
            </reference>
          </references>
        </pivotArea>
      </autoSortScope>
    </pivotField>
    <pivotField axis="axisRow" showAll="0">
      <items count="5">
        <item x="3"/>
        <item x="1"/>
        <item x="2"/>
        <item x="0"/>
        <item t="default"/>
      </items>
    </pivotField>
    <pivotField showAll="0"/>
    <pivotField showAll="0">
      <items count="9">
        <item x="4"/>
        <item x="3"/>
        <item x="0"/>
        <item x="2"/>
        <item x="1"/>
        <item x="5"/>
        <item x="7"/>
        <item x="6"/>
        <item t="default"/>
      </items>
    </pivotField>
    <pivotField showAll="0">
      <items count="4">
        <item x="1"/>
        <item x="0"/>
        <item x="2"/>
        <item t="default"/>
      </items>
    </pivotField>
    <pivotField showAll="0"/>
    <pivotField showAll="0"/>
    <pivotField showAll="0"/>
    <pivotField dataField="1" showAll="0"/>
    <pivotField showAll="0">
      <items count="7">
        <item x="2"/>
        <item x="0"/>
        <item x="3"/>
        <item x="5"/>
        <item x="1"/>
        <item x="4"/>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0"/>
        <item x="1"/>
        <item x="2"/>
        <item x="3"/>
        <item x="4"/>
        <item x="5"/>
        <item t="default"/>
      </items>
    </pivotField>
  </pivotFields>
  <rowFields count="2">
    <field x="4"/>
    <field x="3"/>
  </rowFields>
  <rowItems count="15">
    <i>
      <x/>
    </i>
    <i r="1">
      <x v="1"/>
    </i>
    <i>
      <x v="1"/>
    </i>
    <i r="1">
      <x/>
    </i>
    <i r="1">
      <x v="2"/>
    </i>
    <i r="1">
      <x v="3"/>
    </i>
    <i r="1">
      <x v="4"/>
    </i>
    <i>
      <x v="2"/>
    </i>
    <i r="1">
      <x v="5"/>
    </i>
    <i r="1">
      <x/>
    </i>
    <i>
      <x v="3"/>
    </i>
    <i r="1">
      <x v="3"/>
    </i>
    <i r="1">
      <x v="4"/>
    </i>
    <i r="1">
      <x v="5"/>
    </i>
    <i t="grand">
      <x/>
    </i>
  </rowItems>
  <colItems count="1">
    <i/>
  </colItems>
  <dataFields count="1">
    <dataField name="Sum of Sales_Amount" fld="11" baseField="0" baseItem="0"/>
  </dataFields>
  <formats count="1">
    <format dxfId="15">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DA6ED8-6225-47AE-8648-0A3C254B2F15}" name="PivotTable8" cacheId="1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51:B57" firstHeaderRow="1" firstDataRow="1" firstDataCol="1"/>
  <pivotFields count="16">
    <pivotField showAll="0"/>
    <pivotField showAll="0">
      <items count="31">
        <item x="29"/>
        <item x="23"/>
        <item x="24"/>
        <item x="26"/>
        <item x="11"/>
        <item x="7"/>
        <item x="17"/>
        <item x="0"/>
        <item x="18"/>
        <item x="15"/>
        <item x="3"/>
        <item x="28"/>
        <item x="4"/>
        <item x="21"/>
        <item x="20"/>
        <item x="13"/>
        <item x="2"/>
        <item x="5"/>
        <item x="1"/>
        <item x="14"/>
        <item x="8"/>
        <item x="25"/>
        <item x="19"/>
        <item x="22"/>
        <item x="16"/>
        <item x="27"/>
        <item x="9"/>
        <item x="6"/>
        <item x="12"/>
        <item x="10"/>
        <item t="default"/>
      </items>
    </pivotField>
    <pivotField showAll="0"/>
    <pivotField showAll="0">
      <items count="7">
        <item x="1"/>
        <item x="5"/>
        <item x="3"/>
        <item x="0"/>
        <item x="4"/>
        <item x="2"/>
        <item t="default"/>
      </items>
    </pivotField>
    <pivotField showAll="0">
      <items count="5">
        <item x="3"/>
        <item x="1"/>
        <item x="2"/>
        <item x="0"/>
        <item t="default"/>
      </items>
    </pivotField>
    <pivotField showAll="0"/>
    <pivotField axis="axisRow" showAll="0" measureFilter="1" sortType="descending">
      <items count="9">
        <item x="4"/>
        <item x="3"/>
        <item x="0"/>
        <item x="2"/>
        <item x="1"/>
        <item x="5"/>
        <item x="7"/>
        <item x="6"/>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dataField="1" showAll="0"/>
    <pivotField showAll="0"/>
    <pivotField showAll="0"/>
    <pivotField showAll="0"/>
    <pivotField showAll="0">
      <items count="7">
        <item x="2"/>
        <item x="0"/>
        <item x="3"/>
        <item x="5"/>
        <item x="1"/>
        <item x="4"/>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0"/>
        <item x="1"/>
        <item x="2"/>
        <item x="3"/>
        <item x="4"/>
        <item x="5"/>
        <item t="default"/>
      </items>
    </pivotField>
  </pivotFields>
  <rowFields count="1">
    <field x="6"/>
  </rowFields>
  <rowItems count="6">
    <i>
      <x v="5"/>
    </i>
    <i>
      <x v="4"/>
    </i>
    <i>
      <x/>
    </i>
    <i>
      <x v="3"/>
    </i>
    <i>
      <x v="1"/>
    </i>
    <i t="grand">
      <x/>
    </i>
  </rowItems>
  <colItems count="1">
    <i/>
  </colItems>
  <dataFields count="1">
    <dataField name="Sum of Quantity" fld="8" baseField="0" baseItem="0"/>
  </dataFields>
  <formats count="1">
    <format dxfId="16">
      <pivotArea dataOnly="0" labelOnly="1" grandRow="1" outline="0" fieldPosition="0"/>
    </format>
  </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E58F47-19BF-42A5-A981-D6C30B313AF7}" name="PivotTable4" cacheId="1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6:D21" firstHeaderRow="0" firstDataRow="1" firstDataCol="1"/>
  <pivotFields count="16">
    <pivotField showAll="0"/>
    <pivotField showAll="0">
      <items count="31">
        <item x="29"/>
        <item x="23"/>
        <item x="24"/>
        <item x="26"/>
        <item x="11"/>
        <item x="7"/>
        <item x="17"/>
        <item x="0"/>
        <item x="18"/>
        <item x="15"/>
        <item x="3"/>
        <item x="28"/>
        <item x="4"/>
        <item x="21"/>
        <item x="20"/>
        <item x="13"/>
        <item x="2"/>
        <item x="5"/>
        <item x="1"/>
        <item x="14"/>
        <item x="8"/>
        <item x="25"/>
        <item x="19"/>
        <item x="22"/>
        <item x="16"/>
        <item x="27"/>
        <item x="9"/>
        <item x="6"/>
        <item x="12"/>
        <item x="10"/>
        <item t="default"/>
      </items>
    </pivotField>
    <pivotField showAll="0"/>
    <pivotField showAll="0">
      <items count="7">
        <item x="1"/>
        <item x="5"/>
        <item x="3"/>
        <item x="0"/>
        <item x="4"/>
        <item x="2"/>
        <item t="default"/>
      </items>
    </pivotField>
    <pivotField axis="axisRow" showAll="0">
      <items count="5">
        <item x="3"/>
        <item x="1"/>
        <item x="2"/>
        <item x="0"/>
        <item t="default"/>
      </items>
    </pivotField>
    <pivotField showAll="0"/>
    <pivotField showAll="0">
      <items count="9">
        <item x="4"/>
        <item x="3"/>
        <item x="0"/>
        <item x="2"/>
        <item x="1"/>
        <item x="5"/>
        <item x="7"/>
        <item x="6"/>
        <item t="default"/>
      </items>
    </pivotField>
    <pivotField showAll="0" sortType="descending">
      <items count="4">
        <item x="1"/>
        <item x="0"/>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0"/>
        <item x="1"/>
        <item x="2"/>
        <item x="3"/>
        <item x="4"/>
        <item x="5"/>
        <item t="default"/>
      </items>
    </pivotField>
  </pivotFields>
  <rowFields count="1">
    <field x="4"/>
  </rowFields>
  <rowItems count="5">
    <i>
      <x/>
    </i>
    <i>
      <x v="1"/>
    </i>
    <i>
      <x v="2"/>
    </i>
    <i>
      <x v="3"/>
    </i>
    <i t="grand">
      <x/>
    </i>
  </rowItems>
  <colFields count="1">
    <field x="-2"/>
  </colFields>
  <colItems count="3">
    <i>
      <x/>
    </i>
    <i i="1">
      <x v="1"/>
    </i>
    <i i="2">
      <x v="2"/>
    </i>
  </colItems>
  <dataFields count="3">
    <dataField name="Sum of Sales_Amount" fld="11" baseField="0" baseItem="0"/>
    <dataField name="Sum of Quantity" fld="8" baseField="0" baseItem="0"/>
    <dataField name="Average of Sales_Amount2" fld="11" subtotal="average" baseField="0" baseItem="0"/>
  </dataFields>
  <formats count="1">
    <format dxfId="17">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CFAE6F-C5BE-42F9-A316-64FD0007835A}" name="PivotTable7" cacheId="1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40:C47" firstHeaderRow="0" firstDataRow="1" firstDataCol="1"/>
  <pivotFields count="16">
    <pivotField dataField="1" showAll="0"/>
    <pivotField showAll="0">
      <items count="31">
        <item x="29"/>
        <item x="23"/>
        <item x="24"/>
        <item x="26"/>
        <item x="11"/>
        <item x="7"/>
        <item x="17"/>
        <item x="0"/>
        <item x="18"/>
        <item x="15"/>
        <item x="3"/>
        <item x="28"/>
        <item x="4"/>
        <item x="21"/>
        <item x="20"/>
        <item x="13"/>
        <item x="2"/>
        <item x="5"/>
        <item x="1"/>
        <item x="14"/>
        <item x="8"/>
        <item x="25"/>
        <item x="19"/>
        <item x="22"/>
        <item x="16"/>
        <item x="27"/>
        <item x="9"/>
        <item x="6"/>
        <item x="12"/>
        <item x="10"/>
        <item t="default"/>
      </items>
    </pivotField>
    <pivotField showAll="0"/>
    <pivotField showAll="0">
      <items count="7">
        <item x="1"/>
        <item x="5"/>
        <item x="3"/>
        <item x="0"/>
        <item x="4"/>
        <item x="2"/>
        <item t="default"/>
      </items>
    </pivotField>
    <pivotField showAll="0">
      <items count="5">
        <item x="3"/>
        <item x="1"/>
        <item x="2"/>
        <item x="0"/>
        <item t="default"/>
      </items>
    </pivotField>
    <pivotField showAll="0"/>
    <pivotField showAll="0">
      <items count="9">
        <item x="4"/>
        <item x="3"/>
        <item x="0"/>
        <item x="2"/>
        <item x="1"/>
        <item x="5"/>
        <item x="7"/>
        <item x="6"/>
        <item t="default"/>
      </items>
    </pivotField>
    <pivotField showAll="0">
      <items count="4">
        <item x="1"/>
        <item x="0"/>
        <item x="2"/>
        <item t="default"/>
      </items>
    </pivotField>
    <pivotField showAll="0"/>
    <pivotField showAll="0"/>
    <pivotField showAll="0"/>
    <pivotField dataField="1" showAll="0"/>
    <pivotField axis="axisRow" showAll="0" sortType="descending">
      <items count="7">
        <item x="2"/>
        <item x="0"/>
        <item x="3"/>
        <item x="5"/>
        <item x="1"/>
        <item x="4"/>
        <item t="default"/>
      </items>
      <autoSortScope>
        <pivotArea dataOnly="0" outline="0" fieldPosition="0">
          <references count="1">
            <reference field="4294967294" count="1" selected="0">
              <x v="1"/>
            </reference>
          </references>
        </pivotArea>
      </autoSortScope>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0"/>
        <item x="1"/>
        <item x="2"/>
        <item x="3"/>
        <item x="4"/>
        <item x="5"/>
        <item t="default"/>
      </items>
    </pivotField>
  </pivotFields>
  <rowFields count="1">
    <field x="12"/>
  </rowFields>
  <rowItems count="7">
    <i>
      <x v="5"/>
    </i>
    <i>
      <x v="2"/>
    </i>
    <i>
      <x v="4"/>
    </i>
    <i>
      <x v="1"/>
    </i>
    <i>
      <x/>
    </i>
    <i>
      <x v="3"/>
    </i>
    <i t="grand">
      <x/>
    </i>
  </rowItems>
  <colFields count="1">
    <field x="-2"/>
  </colFields>
  <colItems count="2">
    <i>
      <x/>
    </i>
    <i i="1">
      <x v="1"/>
    </i>
  </colItems>
  <dataFields count="2">
    <dataField name="Count of Order_ID" fld="0" subtotal="count" baseField="0" baseItem="0"/>
    <dataField name="Sum of Sales_Amount" fld="11" baseField="0" baseItem="0"/>
  </dataFields>
  <formats count="1">
    <format dxfId="18">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934727-E376-40EA-9CC5-F72C9E3C3AE7}" name="PivotTable10" cacheId="1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72:C77" firstHeaderRow="0" firstDataRow="1" firstDataCol="1"/>
  <pivotFields count="16">
    <pivotField showAll="0"/>
    <pivotField showAll="0">
      <items count="31">
        <item x="29"/>
        <item x="23"/>
        <item x="24"/>
        <item x="26"/>
        <item x="11"/>
        <item x="7"/>
        <item x="17"/>
        <item x="0"/>
        <item x="18"/>
        <item x="15"/>
        <item x="3"/>
        <item x="28"/>
        <item x="4"/>
        <item x="21"/>
        <item x="20"/>
        <item x="13"/>
        <item x="2"/>
        <item x="5"/>
        <item x="1"/>
        <item x="14"/>
        <item x="8"/>
        <item x="25"/>
        <item x="19"/>
        <item x="22"/>
        <item x="16"/>
        <item x="27"/>
        <item x="9"/>
        <item x="6"/>
        <item x="12"/>
        <item x="10"/>
        <item t="default"/>
      </items>
    </pivotField>
    <pivotField showAll="0"/>
    <pivotField showAll="0">
      <items count="7">
        <item x="1"/>
        <item x="5"/>
        <item x="3"/>
        <item x="0"/>
        <item x="4"/>
        <item x="2"/>
        <item t="default"/>
      </items>
    </pivotField>
    <pivotField axis="axisRow" showAll="0">
      <items count="5">
        <item x="3"/>
        <item x="1"/>
        <item x="2"/>
        <item x="0"/>
        <item t="default"/>
      </items>
    </pivotField>
    <pivotField showAll="0"/>
    <pivotField showAll="0">
      <items count="9">
        <item x="4"/>
        <item x="3"/>
        <item x="0"/>
        <item x="2"/>
        <item x="1"/>
        <item x="5"/>
        <item x="7"/>
        <item x="6"/>
        <item t="default"/>
      </items>
    </pivotField>
    <pivotField showAll="0">
      <items count="4">
        <item x="1"/>
        <item x="0"/>
        <item x="2"/>
        <item t="default"/>
      </items>
    </pivotField>
    <pivotField showAll="0"/>
    <pivotField showAll="0"/>
    <pivotField showAll="0"/>
    <pivotField dataField="1" showAll="0"/>
    <pivotField showAll="0">
      <items count="7">
        <item x="2"/>
        <item x="0"/>
        <item x="3"/>
        <item x="5"/>
        <item x="1"/>
        <item x="4"/>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0"/>
        <item x="1"/>
        <item x="2"/>
        <item x="3"/>
        <item x="4"/>
        <item x="5"/>
        <item t="default"/>
      </items>
    </pivotField>
  </pivotFields>
  <rowFields count="1">
    <field x="4"/>
  </rowFields>
  <rowItems count="5">
    <i>
      <x/>
    </i>
    <i>
      <x v="1"/>
    </i>
    <i>
      <x v="2"/>
    </i>
    <i>
      <x v="3"/>
    </i>
    <i t="grand">
      <x/>
    </i>
  </rowItems>
  <colFields count="1">
    <field x="-2"/>
  </colFields>
  <colItems count="2">
    <i>
      <x/>
    </i>
    <i i="1">
      <x v="1"/>
    </i>
  </colItems>
  <dataFields count="2">
    <dataField name="Sum of Sales_Amount" fld="11" baseField="0" baseItem="0"/>
    <dataField name="Difference from" fld="11" showDataAs="difference" baseField="4" baseItem="1048828"/>
  </dataFields>
  <formats count="1">
    <format dxfId="19">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0C25567-B6B1-49E5-B8F3-B0588C84DC42}" name="PivotTable9" cacheId="1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62:C66" firstHeaderRow="0" firstDataRow="1" firstDataCol="1"/>
  <pivotFields count="16">
    <pivotField showAll="0"/>
    <pivotField showAll="0">
      <items count="31">
        <item x="29"/>
        <item x="23"/>
        <item x="24"/>
        <item x="26"/>
        <item x="11"/>
        <item x="7"/>
        <item x="17"/>
        <item x="0"/>
        <item x="18"/>
        <item x="15"/>
        <item x="3"/>
        <item x="28"/>
        <item x="4"/>
        <item x="21"/>
        <item x="20"/>
        <item x="13"/>
        <item x="2"/>
        <item x="5"/>
        <item x="1"/>
        <item x="14"/>
        <item x="8"/>
        <item x="25"/>
        <item x="19"/>
        <item x="22"/>
        <item x="16"/>
        <item x="27"/>
        <item x="9"/>
        <item x="6"/>
        <item x="12"/>
        <item x="10"/>
        <item t="default"/>
      </items>
    </pivotField>
    <pivotField showAll="0"/>
    <pivotField showAll="0">
      <items count="7">
        <item x="1"/>
        <item x="5"/>
        <item x="3"/>
        <item x="0"/>
        <item x="4"/>
        <item x="2"/>
        <item t="default"/>
      </items>
    </pivotField>
    <pivotField showAll="0">
      <items count="5">
        <item x="3"/>
        <item x="1"/>
        <item x="2"/>
        <item x="0"/>
        <item t="default"/>
      </items>
    </pivotField>
    <pivotField showAll="0"/>
    <pivotField showAll="0">
      <items count="9">
        <item x="4"/>
        <item x="3"/>
        <item x="0"/>
        <item x="2"/>
        <item x="1"/>
        <item x="5"/>
        <item x="7"/>
        <item x="6"/>
        <item t="default"/>
      </items>
    </pivotField>
    <pivotField axis="axisRow" showAll="0">
      <items count="4">
        <item x="1"/>
        <item x="0"/>
        <item x="2"/>
        <item t="default"/>
      </items>
    </pivotField>
    <pivotField showAll="0"/>
    <pivotField showAll="0"/>
    <pivotField showAll="0"/>
    <pivotField dataField="1" showAll="0"/>
    <pivotField showAll="0">
      <items count="7">
        <item x="2"/>
        <item x="0"/>
        <item x="3"/>
        <item x="5"/>
        <item x="1"/>
        <item x="4"/>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0"/>
        <item x="1"/>
        <item x="2"/>
        <item x="3"/>
        <item x="4"/>
        <item x="5"/>
        <item t="default"/>
      </items>
    </pivotField>
  </pivotFields>
  <rowFields count="1">
    <field x="7"/>
  </rowFields>
  <rowItems count="4">
    <i>
      <x/>
    </i>
    <i>
      <x v="1"/>
    </i>
    <i>
      <x v="2"/>
    </i>
    <i t="grand">
      <x/>
    </i>
  </rowItems>
  <colFields count="1">
    <field x="-2"/>
  </colFields>
  <colItems count="2">
    <i>
      <x/>
    </i>
    <i i="1">
      <x v="1"/>
    </i>
  </colItems>
  <dataFields count="2">
    <dataField name="Sum of Sales_Amount" fld="11" baseField="0" baseItem="0"/>
    <dataField name="% of total sales" fld="11" showDataAs="percentOfTotal" baseField="0" baseItem="0" numFmtId="10"/>
  </dataFields>
  <formats count="1">
    <format dxfId="2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62DE7F5-D54C-4991-BEFF-ACC8753033BA}" name="PivotTable2" cacheId="1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3:B20" firstHeaderRow="1" firstDataRow="1" firstDataCol="1"/>
  <pivotFields count="16">
    <pivotField showAll="0"/>
    <pivotField numFmtId="14" showAll="0">
      <items count="31">
        <item x="29"/>
        <item x="23"/>
        <item x="24"/>
        <item x="26"/>
        <item x="11"/>
        <item x="7"/>
        <item x="17"/>
        <item x="0"/>
        <item x="18"/>
        <item x="15"/>
        <item x="3"/>
        <item x="28"/>
        <item x="4"/>
        <item x="21"/>
        <item x="20"/>
        <item x="13"/>
        <item x="2"/>
        <item x="5"/>
        <item x="1"/>
        <item x="14"/>
        <item x="8"/>
        <item x="25"/>
        <item x="19"/>
        <item x="22"/>
        <item x="16"/>
        <item x="27"/>
        <item x="9"/>
        <item x="6"/>
        <item x="12"/>
        <item x="10"/>
        <item t="default"/>
      </items>
    </pivotField>
    <pivotField showAll="0"/>
    <pivotField axis="axisRow" showAll="0">
      <items count="7">
        <item x="1"/>
        <item x="5"/>
        <item x="3"/>
        <item x="0"/>
        <item x="4"/>
        <item x="2"/>
        <item t="default"/>
      </items>
    </pivotField>
    <pivotField showAll="0">
      <items count="5">
        <item x="3"/>
        <item x="1"/>
        <item x="2"/>
        <item x="0"/>
        <item t="default"/>
      </items>
    </pivotField>
    <pivotField showAll="0"/>
    <pivotField showAll="0"/>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0"/>
        <item x="1"/>
        <item x="2"/>
        <item x="3"/>
        <item x="4"/>
        <item x="5"/>
        <item t="default"/>
      </items>
    </pivotField>
  </pivotFields>
  <rowFields count="1">
    <field x="3"/>
  </rowFields>
  <rowItems count="7">
    <i>
      <x/>
    </i>
    <i>
      <x v="1"/>
    </i>
    <i>
      <x v="2"/>
    </i>
    <i>
      <x v="3"/>
    </i>
    <i>
      <x v="4"/>
    </i>
    <i>
      <x v="5"/>
    </i>
    <i t="grand">
      <x/>
    </i>
  </rowItems>
  <colItems count="1">
    <i/>
  </colItems>
  <dataFields count="1">
    <dataField name="Sum of Sales_Amoun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54B9C5F-182D-4425-9382-90D6AE68ACCD}" name="PivotTable1" cacheId="1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8" firstHeaderRow="0" firstDataRow="1" firstDataCol="1"/>
  <pivotFields count="16">
    <pivotField showAll="0"/>
    <pivotField numFmtId="14" showAll="0">
      <items count="31">
        <item x="29"/>
        <item x="23"/>
        <item x="24"/>
        <item x="26"/>
        <item x="11"/>
        <item x="7"/>
        <item x="17"/>
        <item x="0"/>
        <item x="18"/>
        <item x="15"/>
        <item x="3"/>
        <item x="28"/>
        <item x="4"/>
        <item x="21"/>
        <item x="20"/>
        <item x="13"/>
        <item x="2"/>
        <item x="5"/>
        <item x="1"/>
        <item x="14"/>
        <item x="8"/>
        <item x="25"/>
        <item x="19"/>
        <item x="22"/>
        <item x="16"/>
        <item x="27"/>
        <item x="9"/>
        <item x="6"/>
        <item x="12"/>
        <item x="10"/>
        <item t="default"/>
      </items>
    </pivotField>
    <pivotField showAll="0"/>
    <pivotField showAll="0">
      <items count="7">
        <item x="1"/>
        <item x="5"/>
        <item x="3"/>
        <item x="0"/>
        <item x="4"/>
        <item x="2"/>
        <item t="default"/>
      </items>
    </pivotField>
    <pivotField axis="axisRow" showAll="0">
      <items count="5">
        <item x="3"/>
        <item x="1"/>
        <item x="2"/>
        <item x="0"/>
        <item t="default"/>
      </items>
    </pivotField>
    <pivotField showAll="0"/>
    <pivotField showAll="0"/>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0"/>
        <item x="1"/>
        <item x="2"/>
        <item x="3"/>
        <item x="4"/>
        <item x="5"/>
        <item t="default"/>
      </items>
    </pivotField>
  </pivotFields>
  <rowFields count="1">
    <field x="4"/>
  </rowFields>
  <rowItems count="5">
    <i>
      <x/>
    </i>
    <i>
      <x v="1"/>
    </i>
    <i>
      <x v="2"/>
    </i>
    <i>
      <x v="3"/>
    </i>
    <i t="grand">
      <x/>
    </i>
  </rowItems>
  <colFields count="1">
    <field x="-2"/>
  </colFields>
  <colItems count="2">
    <i>
      <x/>
    </i>
    <i i="1">
      <x v="1"/>
    </i>
  </colItems>
  <dataFields count="2">
    <dataField name="Sum of Sales_Amount" fld="11" baseField="0" baseItem="0"/>
    <dataField name="% of grand total" fld="11"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3799E2C-9DBD-4150-92D0-218E7BACA1C2}" name="PivotTable3" cacheId="17"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27" firstHeaderRow="0" firstDataRow="0" firstDataCol="0"/>
  <pivotFields count="16">
    <pivotField dataField="1" showAll="0"/>
    <pivotField numFmtId="14" showAll="0">
      <items count="31">
        <item x="29"/>
        <item x="23"/>
        <item x="24"/>
        <item x="26"/>
        <item x="11"/>
        <item x="7"/>
        <item x="17"/>
        <item x="0"/>
        <item x="18"/>
        <item x="15"/>
        <item x="3"/>
        <item x="28"/>
        <item x="4"/>
        <item x="21"/>
        <item x="20"/>
        <item x="13"/>
        <item x="2"/>
        <item x="5"/>
        <item x="1"/>
        <item x="14"/>
        <item x="8"/>
        <item x="25"/>
        <item x="19"/>
        <item x="22"/>
        <item x="16"/>
        <item x="27"/>
        <item x="9"/>
        <item x="6"/>
        <item x="12"/>
        <item x="10"/>
        <item t="default"/>
      </items>
    </pivotField>
    <pivotField showAll="0"/>
    <pivotField axis="axisRow" showAll="0">
      <items count="7">
        <item x="1"/>
        <item x="5"/>
        <item x="3"/>
        <item x="0"/>
        <item x="4"/>
        <item x="2"/>
        <item t="default"/>
      </items>
    </pivotField>
    <pivotField axis="axisRow" showAll="0">
      <items count="5">
        <item x="3"/>
        <item x="1"/>
        <item x="2"/>
        <item x="0"/>
        <item t="default"/>
      </items>
    </pivotField>
    <pivotField showAll="0"/>
    <pivotField showAll="0"/>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0"/>
        <item x="1"/>
        <item x="2"/>
        <item x="3"/>
        <item x="4"/>
        <item x="5"/>
        <item t="default"/>
      </items>
    </pivotField>
  </pivotFields>
  <rowFields count="2">
    <field x="4"/>
    <field x="3"/>
  </rowFields>
  <rowItems count="15">
    <i>
      <x/>
    </i>
    <i r="1">
      <x v="1"/>
    </i>
    <i>
      <x v="1"/>
    </i>
    <i r="1">
      <x/>
    </i>
    <i r="1">
      <x v="2"/>
    </i>
    <i r="1">
      <x v="3"/>
    </i>
    <i r="1">
      <x v="4"/>
    </i>
    <i>
      <x v="2"/>
    </i>
    <i r="1">
      <x/>
    </i>
    <i r="1">
      <x v="5"/>
    </i>
    <i>
      <x v="3"/>
    </i>
    <i r="1">
      <x v="3"/>
    </i>
    <i r="1">
      <x v="4"/>
    </i>
    <i r="1">
      <x v="5"/>
    </i>
    <i t="grand">
      <x/>
    </i>
  </rowItems>
  <colFields count="1">
    <field x="-2"/>
  </colFields>
  <colItems count="3">
    <i>
      <x/>
    </i>
    <i i="1">
      <x v="1"/>
    </i>
    <i i="2">
      <x v="2"/>
    </i>
  </colItems>
  <dataFields count="3">
    <dataField name="Sum of Sales_Amount" fld="11" baseField="0" baseItem="0"/>
    <dataField name="Count of Order_ID" fld="0" subtotal="count" baseField="0" baseItem="0"/>
    <dataField name="Average of Sales_Amount2" fld="11" subtotal="average" baseField="0" baseItem="0" numFmtId="164"/>
  </dataFields>
  <formats count="1">
    <format dxfId="12">
      <pivotArea outline="0" collapsedLevelsAreSubtotals="1" fieldPosition="0">
        <references count="1">
          <reference field="4294967294" count="1" selected="0">
            <x v="2"/>
          </reference>
        </references>
      </pivotArea>
    </format>
  </formats>
  <conditionalFormats count="1">
    <conditionalFormat priority="2">
      <pivotAreas count="2">
        <pivotArea type="data" collapsedLevelsAreSubtotals="1" fieldPosition="0">
          <references count="3">
            <reference field="4294967294" count="1" selected="0">
              <x v="0"/>
            </reference>
            <reference field="3" count="4">
              <x v="0"/>
              <x v="2"/>
              <x v="3"/>
              <x v="4"/>
            </reference>
            <reference field="4" count="1" selected="0">
              <x v="1"/>
            </reference>
          </references>
        </pivotArea>
        <pivotArea type="data" collapsedLevelsAreSubtotals="1" fieldPosition="0">
          <references count="3">
            <reference field="4294967294" count="1" selected="0">
              <x v="0"/>
            </reference>
            <reference field="3" count="3">
              <x v="3"/>
              <x v="4"/>
              <x v="5"/>
            </reference>
            <reference field="4" count="1" selected="0">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B6A3358-234A-408B-9C2A-88E99C92EC61}" name="salesovertime"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5:B46" firstHeaderRow="1" firstDataRow="1" firstDataCol="1"/>
  <pivotFields count="16">
    <pivotField showAll="0"/>
    <pivotField axis="axisRow" numFmtId="14" showAll="0">
      <items count="31">
        <item x="29"/>
        <item x="23"/>
        <item x="24"/>
        <item x="26"/>
        <item x="11"/>
        <item x="7"/>
        <item x="17"/>
        <item x="0"/>
        <item x="18"/>
        <item x="15"/>
        <item x="3"/>
        <item x="28"/>
        <item x="4"/>
        <item x="21"/>
        <item x="20"/>
        <item x="13"/>
        <item x="2"/>
        <item x="5"/>
        <item x="1"/>
        <item x="14"/>
        <item x="8"/>
        <item x="25"/>
        <item x="19"/>
        <item x="22"/>
        <item x="16"/>
        <item x="27"/>
        <item x="9"/>
        <item x="6"/>
        <item x="12"/>
        <item x="10"/>
        <item t="default"/>
      </items>
    </pivotField>
    <pivotField showAll="0"/>
    <pivotField showAll="0"/>
    <pivotField showAll="0">
      <items count="5">
        <item x="3"/>
        <item x="1"/>
        <item x="2"/>
        <item x="0"/>
        <item t="default"/>
      </items>
    </pivotField>
    <pivotField showAll="0"/>
    <pivotField showAll="0"/>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0"/>
        <item x="1"/>
        <item x="2"/>
        <item x="3"/>
        <item x="4"/>
        <item x="5"/>
        <item t="default"/>
      </items>
    </pivotField>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Sales_Amount" fld="11" baseField="0" baseItem="0"/>
  </dataField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45BB87E-C90A-40CD-BE2D-C28B932E6998}" name="KPI"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6">
    <pivotField dataField="1" showAll="0"/>
    <pivotField numFmtId="14" showAll="0">
      <items count="31">
        <item x="29"/>
        <item x="23"/>
        <item x="24"/>
        <item x="26"/>
        <item x="11"/>
        <item x="7"/>
        <item x="17"/>
        <item x="0"/>
        <item x="18"/>
        <item x="15"/>
        <item x="3"/>
        <item x="28"/>
        <item x="4"/>
        <item x="21"/>
        <item x="20"/>
        <item x="13"/>
        <item x="2"/>
        <item x="5"/>
        <item x="1"/>
        <item x="14"/>
        <item x="8"/>
        <item x="25"/>
        <item x="19"/>
        <item x="22"/>
        <item x="16"/>
        <item x="27"/>
        <item x="9"/>
        <item x="6"/>
        <item x="12"/>
        <item x="10"/>
        <item t="default"/>
      </items>
    </pivotField>
    <pivotField showAll="0"/>
    <pivotField showAll="0"/>
    <pivotField showAll="0">
      <items count="5">
        <item x="3"/>
        <item x="1"/>
        <item x="2"/>
        <item x="0"/>
        <item t="default"/>
      </items>
    </pivotField>
    <pivotField showAll="0"/>
    <pivotField showAll="0"/>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0"/>
        <item x="1"/>
        <item x="2"/>
        <item x="3"/>
        <item x="4"/>
        <item x="5"/>
        <item t="default"/>
      </items>
    </pivotField>
  </pivotFields>
  <rowItems count="1">
    <i/>
  </rowItems>
  <colFields count="1">
    <field x="-2"/>
  </colFields>
  <colItems count="3">
    <i>
      <x/>
    </i>
    <i i="1">
      <x v="1"/>
    </i>
    <i i="2">
      <x v="2"/>
    </i>
  </colItems>
  <dataFields count="3">
    <dataField name="Sum of Sales_Amount" fld="11" baseField="0" baseItem="0"/>
    <dataField name="Count of Order_ID" fld="0" subtotal="count" baseField="0" baseItem="0"/>
    <dataField name="Average of Sales_Amount2" fld="1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D5842C7-F8F6-4316-A6A2-DEA8ACDEE1C9}" name="region"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26:B30" firstHeaderRow="1" firstDataRow="1" firstDataCol="1"/>
  <pivotFields count="16">
    <pivotField showAll="0"/>
    <pivotField numFmtId="14" showAll="0">
      <items count="31">
        <item x="29"/>
        <item x="23"/>
        <item x="24"/>
        <item x="26"/>
        <item x="11"/>
        <item x="7"/>
        <item x="17"/>
        <item x="0"/>
        <item x="18"/>
        <item x="15"/>
        <item x="3"/>
        <item x="28"/>
        <item x="4"/>
        <item x="21"/>
        <item x="20"/>
        <item x="13"/>
        <item x="2"/>
        <item x="5"/>
        <item x="1"/>
        <item x="14"/>
        <item x="8"/>
        <item x="25"/>
        <item x="19"/>
        <item x="22"/>
        <item x="16"/>
        <item x="27"/>
        <item x="9"/>
        <item x="6"/>
        <item x="12"/>
        <item x="10"/>
        <item t="default"/>
      </items>
    </pivotField>
    <pivotField showAll="0"/>
    <pivotField showAll="0">
      <items count="7">
        <item x="1"/>
        <item x="5"/>
        <item x="3"/>
        <item x="0"/>
        <item x="4"/>
        <item x="2"/>
        <item t="default"/>
      </items>
    </pivotField>
    <pivotField axis="axisRow" showAll="0">
      <items count="5">
        <item x="3"/>
        <item x="1"/>
        <item x="2"/>
        <item x="0"/>
        <item t="default"/>
      </items>
    </pivotField>
    <pivotField showAll="0"/>
    <pivotField showAll="0"/>
    <pivotField showAll="0"/>
    <pivotField showAll="0"/>
    <pivotField showAll="0"/>
    <pivotField showAll="0"/>
    <pivotField dataField="1" showAll="0"/>
    <pivotField showAll="0"/>
    <pivotField showAll="0"/>
    <pivotField showAll="0" defaultSubtotal="0"/>
    <pivotField showAll="0" defaultSubtotal="0">
      <items count="6">
        <item x="0"/>
        <item x="1"/>
        <item x="2"/>
        <item x="3"/>
        <item x="4"/>
        <item x="5"/>
      </items>
    </pivotField>
  </pivotFields>
  <rowFields count="1">
    <field x="4"/>
  </rowFields>
  <rowItems count="4">
    <i>
      <x/>
    </i>
    <i>
      <x v="1"/>
    </i>
    <i>
      <x v="2"/>
    </i>
    <i>
      <x v="3"/>
    </i>
  </rowItems>
  <colItems count="1">
    <i/>
  </colItems>
  <dataFields count="1">
    <dataField name="Sum of Sales_Amount" fld="11" showDataAs="percentOfTotal" baseField="0" baseItem="0" numFmtId="10"/>
  </dataFields>
  <chartFormats count="6">
    <chartFormat chart="5"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4" count="1" selected="0">
            <x v="0"/>
          </reference>
        </references>
      </pivotArea>
    </chartFormat>
    <chartFormat chart="9" format="8">
      <pivotArea type="data" outline="0" fieldPosition="0">
        <references count="2">
          <reference field="4294967294" count="1" selected="0">
            <x v="0"/>
          </reference>
          <reference field="4" count="1" selected="0">
            <x v="1"/>
          </reference>
        </references>
      </pivotArea>
    </chartFormat>
    <chartFormat chart="9" format="9">
      <pivotArea type="data" outline="0" fieldPosition="0">
        <references count="2">
          <reference field="4294967294" count="1" selected="0">
            <x v="0"/>
          </reference>
          <reference field="4" count="1" selected="0">
            <x v="2"/>
          </reference>
        </references>
      </pivotArea>
    </chartFormat>
    <chartFormat chart="9"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713695D-BF55-44F7-8034-EE729556D083}" name="topemployees"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0" firstHeaderRow="1" firstDataRow="1" firstDataCol="1"/>
  <pivotFields count="16">
    <pivotField showAll="0"/>
    <pivotField numFmtId="14" showAll="0">
      <items count="31">
        <item x="29"/>
        <item x="23"/>
        <item x="24"/>
        <item x="26"/>
        <item x="11"/>
        <item x="7"/>
        <item x="17"/>
        <item x="0"/>
        <item x="18"/>
        <item x="15"/>
        <item x="3"/>
        <item x="28"/>
        <item x="4"/>
        <item x="21"/>
        <item x="20"/>
        <item x="13"/>
        <item x="2"/>
        <item x="5"/>
        <item x="1"/>
        <item x="14"/>
        <item x="8"/>
        <item x="25"/>
        <item x="19"/>
        <item x="22"/>
        <item x="16"/>
        <item x="27"/>
        <item x="9"/>
        <item x="6"/>
        <item x="12"/>
        <item x="10"/>
        <item t="default"/>
      </items>
    </pivotField>
    <pivotField showAll="0"/>
    <pivotField axis="axisRow" showAll="0" sortType="descending">
      <items count="7">
        <item x="1"/>
        <item x="5"/>
        <item x="3"/>
        <item x="0"/>
        <item x="4"/>
        <item x="2"/>
        <item t="default"/>
      </items>
      <autoSortScope>
        <pivotArea dataOnly="0" outline="0" fieldPosition="0">
          <references count="1">
            <reference field="4294967294" count="1" selected="0">
              <x v="0"/>
            </reference>
          </references>
        </pivotArea>
      </autoSortScope>
    </pivotField>
    <pivotField showAll="0">
      <items count="5">
        <item x="3"/>
        <item x="1"/>
        <item x="2"/>
        <item x="0"/>
        <item t="default"/>
      </items>
    </pivotField>
    <pivotField showAll="0"/>
    <pivotField showAll="0"/>
    <pivotField showAll="0"/>
    <pivotField showAll="0"/>
    <pivotField showAll="0"/>
    <pivotField showAll="0"/>
    <pivotField dataField="1" showAll="0"/>
    <pivotField showAll="0"/>
    <pivotField showAll="0"/>
    <pivotField showAll="0" defaultSubtotal="0"/>
    <pivotField showAll="0" defaultSubtotal="0">
      <items count="6">
        <item x="0"/>
        <item x="1"/>
        <item x="2"/>
        <item x="3"/>
        <item x="4"/>
        <item x="5"/>
      </items>
    </pivotField>
  </pivotFields>
  <rowFields count="1">
    <field x="3"/>
  </rowFields>
  <rowItems count="7">
    <i>
      <x v="1"/>
    </i>
    <i>
      <x v="5"/>
    </i>
    <i>
      <x v="3"/>
    </i>
    <i>
      <x v="4"/>
    </i>
    <i>
      <x/>
    </i>
    <i>
      <x v="2"/>
    </i>
    <i t="grand">
      <x/>
    </i>
  </rowItems>
  <colItems count="1">
    <i/>
  </colItems>
  <dataFields count="1">
    <dataField name="Sum of Sales_Amount" fld="1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8E616F9-4458-494A-866E-AD160C59A701}" autoFormatId="16" applyNumberFormats="0" applyBorderFormats="0" applyFontFormats="0" applyPatternFormats="0" applyAlignmentFormats="0" applyWidthHeightFormats="0">
  <queryTableRefresh nextId="15">
    <queryTableFields count="14">
      <queryTableField id="1" name="Order_ID" tableColumnId="1"/>
      <queryTableField id="2" name="Order_Date" tableColumnId="2"/>
      <queryTableField id="3" name="Employee_ID" tableColumnId="3"/>
      <queryTableField id="4" name="Employee_Name" tableColumnId="4"/>
      <queryTableField id="5" name="Region" tableColumnId="5"/>
      <queryTableField id="6" name="Product_ID" tableColumnId="6"/>
      <queryTableField id="7" name="Product_Name" tableColumnId="7"/>
      <queryTableField id="8" name="Category" tableColumnId="8"/>
      <queryTableField id="9" name="Quantity" tableColumnId="9"/>
      <queryTableField id="10" name="Unit_Price" tableColumnId="10"/>
      <queryTableField id="11" name="Discount" tableColumnId="11"/>
      <queryTableField id="12" name="Sales_Amount" tableColumnId="12"/>
      <queryTableField id="13" name="Payment_Mode" tableColumnId="13"/>
      <queryTableField id="14" name="Order_Status" tableColumnId="14"/>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3</v>
    <v>8</v>
    <v>15</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CBB2F4C1-2126-4467-8E0B-953353282856}" sourceName="Payment_Mode">
  <pivotTables>
    <pivotTable tabId="4" name="PivotTable7"/>
  </pivotTables>
  <data>
    <tabular pivotCacheId="1016610211">
      <items count="6">
        <i x="2" s="1"/>
        <i x="0" s="1"/>
        <i x="3" s="1"/>
        <i x="5"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2FBF323-6C9B-45C2-A14E-2389C60D974A}" sourceName="Category">
  <pivotTables>
    <pivotTable tabId="4" name="PivotTable9"/>
  </pivotTables>
  <data>
    <tabular pivotCacheId="1016610211">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85D6FA52-A395-445A-B3D2-7D2BB3A21A41}" sourceName="Region">
  <pivotTables>
    <pivotTable tabId="4" name="PivotTable6"/>
    <pivotTable tabId="3" name="PivotTable1"/>
    <pivotTable tabId="3" name="PivotTable2"/>
    <pivotTable tabId="4" name="PivotTable10"/>
    <pivotTable tabId="4" name="PivotTable11"/>
    <pivotTable tabId="4" name="PivotTable3"/>
    <pivotTable tabId="4" name="PivotTable4"/>
    <pivotTable tabId="4" name="PivotTable7"/>
    <pivotTable tabId="4" name="PivotTable8"/>
    <pivotTable tabId="4" name="PivotTable9"/>
    <pivotTable tabId="6" name="PivotTable1"/>
    <pivotTable tabId="6" name="PivotTable2"/>
    <pivotTable tabId="6" name="PivotTable3"/>
  </pivotTables>
  <data>
    <tabular pivotCacheId="1016610211">
      <items count="4">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Name" xr10:uid="{77DD1EA5-0503-44B2-8483-1B8036A84860}" sourceName="Employee_Name">
  <pivotTables>
    <pivotTable tabId="4" name="PivotTable6"/>
    <pivotTable tabId="3" name="PivotTable1"/>
    <pivotTable tabId="3" name="PivotTable2"/>
    <pivotTable tabId="4" name="PivotTable10"/>
    <pivotTable tabId="4" name="PivotTable11"/>
    <pivotTable tabId="4" name="PivotTable3"/>
    <pivotTable tabId="4" name="PivotTable4"/>
    <pivotTable tabId="4" name="PivotTable7"/>
    <pivotTable tabId="4" name="PivotTable8"/>
    <pivotTable tabId="4" name="PivotTable9"/>
    <pivotTable tabId="6" name="PivotTable1"/>
    <pivotTable tabId="6" name="PivotTable2"/>
    <pivotTable tabId="6" name="PivotTable3"/>
  </pivotTables>
  <data>
    <tabular pivotCacheId="1016610211">
      <items count="6">
        <i x="1" s="1"/>
        <i x="5" s="1"/>
        <i x="3" s="1"/>
        <i x="0" s="1"/>
        <i x="4"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E1F8725-B82C-40A5-B4DA-82B8CE5AC316}" sourceName="Region">
  <pivotTables>
    <pivotTable tabId="11" name="region"/>
    <pivotTable tabId="8" name="KPI"/>
    <pivotTable tabId="8" name="salesovertime"/>
    <pivotTable tabId="11" name="topemployees"/>
  </pivotTables>
  <data>
    <tabular pivotCacheId="1016610211">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ode" xr10:uid="{F120696A-1257-4B65-B81C-1DAE36737B14}" cache="Slicer_Payment_Mode" caption="Payment_Mode" rowHeight="247650"/>
  <slicer name="Category" xr10:uid="{158D1C27-D43C-4EA5-AAD6-7E9B7897F2F9}" cache="Slicer_Category" caption="Category" rowHeight="247650"/>
  <slicer name="Region" xr10:uid="{FB355993-D5DA-467F-ADEC-35A79C6A72DE}" cache="Slicer_Region1" caption="Reg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D724531E-DCDE-4A82-B949-2AAE2FD6838F}" cache="Slicer_Region1" caption="Region"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1059C1E-967E-45F0-9EFE-4A9FE26C2FBF}" cache="Slicer_Region1" caption="Region" rowHeight="247650"/>
  <slicer name="Employee_Name" xr10:uid="{9F1688E0-5612-4A42-B030-41C4EA77B565}" cache="Slicer_Employee_Name" caption="Employee_Name" rowHeight="247650"/>
  <slicer name="Region 3" xr10:uid="{9D886792-0B6A-4AF2-BB6C-590C4C6804DB}" cache="Slicer_Region" caption="Region" showCaption="0"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43EBCD-8338-4B4A-A351-E3F27DF490D8}" name="Sales_Transactions" displayName="Sales_Transactions" ref="A1:N152" tableType="queryTable" totalsRowCount="1">
  <autoFilter ref="A1:N151" xr:uid="{3B43EBCD-8338-4B4A-A351-E3F27DF490D8}"/>
  <tableColumns count="14">
    <tableColumn id="1" xr3:uid="{E1B13E77-C5F6-42EB-9E5E-4CF79939E04D}" uniqueName="1" name="Order_ID" queryTableFieldId="1" dataDxfId="42" totalsRowDxfId="41"/>
    <tableColumn id="2" xr3:uid="{96A2A78E-D2C0-4A4C-8C21-B66037005907}" uniqueName="2" name="Order_Date" queryTableFieldId="2" dataDxfId="40" totalsRowDxfId="39"/>
    <tableColumn id="3" xr3:uid="{5566A19A-75A3-4501-9B0C-F993455D6934}" uniqueName="3" name="Employee_ID" queryTableFieldId="3" dataDxfId="38" totalsRowDxfId="37"/>
    <tableColumn id="4" xr3:uid="{DCE410A5-0521-4312-AA9C-E055B5AAF2A4}" uniqueName="4" name="Employee_Name" queryTableFieldId="4" dataDxfId="36" totalsRowDxfId="35"/>
    <tableColumn id="5" xr3:uid="{A22474F1-F738-47B5-B486-A0C2B786D952}" uniqueName="5" name="Region" queryTableFieldId="5" dataDxfId="34" totalsRowDxfId="33"/>
    <tableColumn id="6" xr3:uid="{CC02EF2C-5F84-4051-8CEE-F005B0AFC55C}" uniqueName="6" name="Product_ID" queryTableFieldId="6" dataDxfId="32" totalsRowDxfId="31"/>
    <tableColumn id="7" xr3:uid="{CC030BBA-E926-4660-BB48-40079FB17448}" uniqueName="7" name="Product_Name" queryTableFieldId="7" dataDxfId="30" totalsRowDxfId="29"/>
    <tableColumn id="8" xr3:uid="{F855084D-9EEC-401D-9521-6BC4DDC93D50}" uniqueName="8" name="Category" queryTableFieldId="8" dataDxfId="28" totalsRowDxfId="27"/>
    <tableColumn id="9" xr3:uid="{6A3F0040-0FA2-4B8B-BF2E-22D59B64E63B}" uniqueName="9" name="Quantity" queryTableFieldId="9"/>
    <tableColumn id="10" xr3:uid="{F4928FA1-43EE-43FD-9D0D-EF383B9C7DDA}" uniqueName="10" name="Unit_Price" queryTableFieldId="10"/>
    <tableColumn id="11" xr3:uid="{305435D3-8043-4ED5-A29C-DADA0EAFA414}" uniqueName="11" name="Discount" queryTableFieldId="11" dataDxfId="26" totalsRowDxfId="25"/>
    <tableColumn id="12" xr3:uid="{6478D67A-93AA-4ACD-B7BA-16F71A289049}" uniqueName="12" name="Sales_Amount" totalsRowFunction="custom" queryTableFieldId="12">
      <totalsRowFormula>SUM(Sales_Transactions[Sales_Amount])</totalsRowFormula>
    </tableColumn>
    <tableColumn id="13" xr3:uid="{235A483D-7C29-40E6-880B-F13F4F2966B9}" uniqueName="13" name="Payment_Mode" queryTableFieldId="13" dataDxfId="24" totalsRowDxfId="23"/>
    <tableColumn id="14" xr3:uid="{571ECAE8-CEED-4898-AC48-54F3D34BFAF6}" uniqueName="14" name="Order_Status" queryTableFieldId="14" dataDxfId="22" totalsRowDxfId="21"/>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D6D279B-DDB6-48C1-9B0E-6469761BC411}" name="Table3" displayName="Table3" ref="A7:E8" totalsRowShown="0">
  <autoFilter ref="A7:E8" xr:uid="{4D6D279B-DDB6-48C1-9B0E-6469761BC411}"/>
  <tableColumns count="5">
    <tableColumn id="1" xr3:uid="{EE480A36-E1E0-42DF-B08B-6D4E056A5886}" name="total sales">
      <calculatedColumnFormula>TEXT(A4,"₹ ##,##,###")</calculatedColumnFormula>
    </tableColumn>
    <tableColumn id="2" xr3:uid="{B76606D9-BC9C-496E-B46D-918F54E80620}" name="total orders">
      <calculatedColumnFormula>B4</calculatedColumnFormula>
    </tableColumn>
    <tableColumn id="3" xr3:uid="{BE4EA0F5-5930-4DEE-9995-D3BFED00AD31}" name="aov">
      <calculatedColumnFormula>TEXT(C4,"₹ ##,###.##")</calculatedColumnFormula>
    </tableColumn>
    <tableColumn id="4" xr3:uid="{617E1246-2B7E-49EE-8E5D-8AA0B5EE4409}" name="acheivement" dataDxfId="1">
      <calculatedColumnFormula>D4</calculatedColumnFormula>
    </tableColumn>
    <tableColumn id="5" xr3:uid="{B1363C3A-9F52-4E45-B036-513DC0452624}" name="variance" dataDxfId="0">
      <calculatedColumnFormula>E4</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FB4F004-5D87-4CB4-98E7-ED1D51E0406C}" name="Table1" displayName="Table1" ref="B5:C9" totalsRowShown="0">
  <autoFilter ref="B5:C9" xr:uid="{AFB4F004-5D87-4CB4-98E7-ED1D51E0406C}"/>
  <tableColumns count="2">
    <tableColumn id="1" xr3:uid="{40635CB1-631C-4D63-A85B-F5719F1C87A8}" name="Region" dataDxfId="11"/>
    <tableColumn id="2" xr3:uid="{8565F7DC-923B-4D40-930A-BD695DB284AC}" name="Target Sales" dataDxfId="1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08AE12D-F504-4E79-A9DA-5CE3EED60230}" name="Table2" displayName="Table2" ref="H5:M9" totalsRowShown="0" headerRowDxfId="5" dataDxfId="6">
  <autoFilter ref="H5:M9" xr:uid="{F08AE12D-F504-4E79-A9DA-5CE3EED60230}"/>
  <tableColumns count="6">
    <tableColumn id="1" xr3:uid="{D99D8BFE-6D34-46E1-A8BF-D3EE0C41DB59}" name="Region" dataDxfId="9"/>
    <tableColumn id="2" xr3:uid="{7039FA0E-BAE5-44F1-AA55-63B6A005B944}" name="Target" dataDxfId="8">
      <calculatedColumnFormula>C6</calculatedColumnFormula>
    </tableColumn>
    <tableColumn id="3" xr3:uid="{575D5169-DDC8-402B-AB38-801CC361A1F3}" name="Actual" dataDxfId="7"/>
    <tableColumn id="4" xr3:uid="{82B457F5-FD7E-4341-84F8-13B27DF51EBF}" name="Variance" dataDxfId="4">
      <calculatedColumnFormula>J6-I6</calculatedColumnFormula>
    </tableColumn>
    <tableColumn id="5" xr3:uid="{21548BFF-F976-4117-B334-DAA0960CBDB4}" name="Achievement %" dataDxfId="2">
      <calculatedColumnFormula>Table2[[#This Row],[Actual]]/Table2[[#This Row],[Target]]</calculatedColumnFormula>
    </tableColumn>
    <tableColumn id="6" xr3:uid="{DC55B96B-B075-4796-A9F8-EFF4FFDB3B8C}" name="Variance %" dataDxfId="3">
      <calculatedColumnFormula>K6/I6</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Smokey Glass">
      <a:fillStyleLst>
        <a:solidFill>
          <a:schemeClr val="phClr"/>
        </a:solidFill>
        <a:gradFill rotWithShape="1">
          <a:gsLst>
            <a:gs pos="0">
              <a:schemeClr val="phClr">
                <a:tint val="83000"/>
                <a:shade val="100000"/>
                <a:satMod val="100000"/>
              </a:schemeClr>
            </a:gs>
            <a:gs pos="100000">
              <a:schemeClr val="phClr">
                <a:tint val="61000"/>
                <a:alpha val="100000"/>
                <a:satMod val="180000"/>
              </a:schemeClr>
            </a:gs>
          </a:gsLst>
          <a:path path="circle">
            <a:fillToRect l="100000" t="100000" r="100000" b="100000"/>
          </a:path>
        </a:gradFill>
        <a:gradFill rotWithShape="1">
          <a:gsLst>
            <a:gs pos="0">
              <a:schemeClr val="phClr">
                <a:shade val="85000"/>
              </a:schemeClr>
            </a:gs>
            <a:gs pos="100000">
              <a:schemeClr val="phClr">
                <a:tint val="90000"/>
                <a:alpha val="100000"/>
                <a:satMod val="180000"/>
              </a:schemeClr>
            </a:gs>
          </a:gsLst>
          <a:path path="circle">
            <a:fillToRect l="100000" t="100000" r="100000" b="100000"/>
          </a:path>
        </a:gradFill>
      </a:fillStyleLst>
      <a:lnStyleLst>
        <a:ln w="9525" cap="flat" cmpd="sng" algn="ctr">
          <a:solidFill>
            <a:schemeClr val="phClr"/>
          </a:solidFill>
          <a:prstDash val="solid"/>
        </a:ln>
        <a:ln w="10795" cap="flat" cmpd="sng" algn="ctr">
          <a:solidFill>
            <a:schemeClr val="phClr"/>
          </a:solidFill>
          <a:prstDash val="solid"/>
        </a:ln>
        <a:ln w="15240" cap="flat" cmpd="sng" algn="ctr">
          <a:solidFill>
            <a:schemeClr val="phClr">
              <a:tint val="25000"/>
              <a:alpha val="25000"/>
            </a:schemeClr>
          </a:solidFill>
          <a:prstDash val="solid"/>
        </a:ln>
      </a:lnStyleLst>
      <a:effectStyleLst>
        <a:effectStyle>
          <a:effectLst/>
        </a:effectStyle>
        <a:effectStyle>
          <a:effectLst/>
        </a:effectStyle>
        <a:effectStyle>
          <a:effectLst>
            <a:outerShdw blurRad="44450" dist="21590" dir="5400000" rotWithShape="0">
              <a:srgbClr val="000000">
                <a:alpha val="40000"/>
              </a:srgbClr>
            </a:outerShdw>
          </a:effectLst>
          <a:scene3d>
            <a:camera prst="orthographicFront">
              <a:rot lat="0" lon="0" rev="0"/>
            </a:camera>
            <a:lightRig rig="flat" dir="t">
              <a:rot lat="0" lon="0" rev="3600000"/>
            </a:lightRig>
          </a:scene3d>
          <a:sp3d prstMaterial="flat">
            <a:bevelT w="28575" h="41275" prst="coolSlant"/>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78A2BD4-6775-4E65-8D66-194C10A5845B}" sourceName="Order_Date">
  <pivotTables>
    <pivotTable tabId="4" name="PivotTable6"/>
    <pivotTable tabId="3" name="PivotTable1"/>
    <pivotTable tabId="3" name="PivotTable2"/>
    <pivotTable tabId="4" name="PivotTable10"/>
    <pivotTable tabId="4" name="PivotTable11"/>
    <pivotTable tabId="4" name="PivotTable3"/>
    <pivotTable tabId="4" name="PivotTable4"/>
    <pivotTable tabId="4" name="PivotTable7"/>
    <pivotTable tabId="4" name="PivotTable8"/>
    <pivotTable tabId="4" name="PivotTable9"/>
    <pivotTable tabId="6" name="PivotTable1"/>
    <pivotTable tabId="6" name="PivotTable2"/>
    <pivotTable tabId="6" name="PivotTable3"/>
  </pivotTables>
  <state minimalRefreshVersion="6" lastRefreshVersion="6" pivotCacheId="1016610211" filterType="unknown">
    <bounds startDate="2026-01-01T00:00:00" endDate="202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9A280157-E40A-4FBE-9455-8198FE75E331}" cache="NativeTimeline_Order_Date" caption="Order_Date" level="3" selectionLevel="2" scrollPosition="2026-09-04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10" Type="http://schemas.microsoft.com/office/2007/relationships/slicer" Target="../slicers/slicer1.xml"/><Relationship Id="rId4" Type="http://schemas.openxmlformats.org/officeDocument/2006/relationships/pivotTable" Target="../pivotTables/pivotTable6.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15.xml"/><Relationship Id="rId1" Type="http://schemas.openxmlformats.org/officeDocument/2006/relationships/pivotTable" Target="../pivotTables/pivotTable14.xml"/><Relationship Id="rId5" Type="http://schemas.openxmlformats.org/officeDocument/2006/relationships/table" Target="../tables/table2.xml"/><Relationship Id="rId4"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3.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6ED5D-0A25-4EF0-BF3D-69CB901CD599}">
  <dimension ref="A1:N152"/>
  <sheetViews>
    <sheetView topLeftCell="A2" zoomScale="112" zoomScaleNormal="112" workbookViewId="0">
      <selection activeCell="B14" sqref="B14"/>
    </sheetView>
  </sheetViews>
  <sheetFormatPr defaultRowHeight="14.4" x14ac:dyDescent="0.3"/>
  <cols>
    <col min="1" max="1" width="10.6640625" customWidth="1"/>
    <col min="2" max="2" width="12.77734375" customWidth="1"/>
    <col min="3" max="3" width="14.33203125" customWidth="1"/>
    <col min="4" max="4" width="17.6640625" customWidth="1"/>
    <col min="5" max="5" width="9.21875" customWidth="1"/>
    <col min="6" max="6" width="12.44140625" customWidth="1"/>
    <col min="7" max="7" width="19" customWidth="1"/>
    <col min="8" max="8" width="10.88671875" customWidth="1"/>
    <col min="9" max="9" width="10.33203125" customWidth="1"/>
    <col min="10" max="10" width="11.77734375" customWidth="1"/>
    <col min="11" max="11" width="10.6640625" customWidth="1"/>
    <col min="12" max="12" width="15.44140625" customWidth="1"/>
    <col min="13" max="13" width="16.21875" customWidth="1"/>
    <col min="14" max="14" width="14.33203125"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s="5">
        <v>46273</v>
      </c>
      <c r="C2" t="s">
        <v>15</v>
      </c>
      <c r="D2" t="s">
        <v>16</v>
      </c>
      <c r="E2" t="s">
        <v>17</v>
      </c>
      <c r="F2" t="s">
        <v>18</v>
      </c>
      <c r="G2" t="s">
        <v>19</v>
      </c>
      <c r="H2" t="s">
        <v>20</v>
      </c>
      <c r="I2">
        <v>1</v>
      </c>
      <c r="J2">
        <v>60000</v>
      </c>
      <c r="K2" s="6">
        <v>0.05</v>
      </c>
      <c r="L2">
        <v>57000</v>
      </c>
      <c r="M2" t="s">
        <v>21</v>
      </c>
      <c r="N2" t="s">
        <v>22</v>
      </c>
    </row>
    <row r="3" spans="1:14" x14ac:dyDescent="0.3">
      <c r="A3" t="s">
        <v>23</v>
      </c>
      <c r="B3" s="5">
        <v>46284</v>
      </c>
      <c r="C3" t="s">
        <v>15</v>
      </c>
      <c r="D3" t="s">
        <v>16</v>
      </c>
      <c r="E3" t="s">
        <v>17</v>
      </c>
      <c r="F3" t="s">
        <v>18</v>
      </c>
      <c r="G3" t="s">
        <v>19</v>
      </c>
      <c r="H3" t="s">
        <v>20</v>
      </c>
      <c r="I3">
        <v>5</v>
      </c>
      <c r="J3">
        <v>60000</v>
      </c>
      <c r="K3" s="6">
        <v>0</v>
      </c>
      <c r="L3">
        <v>300000</v>
      </c>
      <c r="M3" t="s">
        <v>24</v>
      </c>
      <c r="N3" t="s">
        <v>22</v>
      </c>
    </row>
    <row r="4" spans="1:14" x14ac:dyDescent="0.3">
      <c r="A4" t="s">
        <v>25</v>
      </c>
      <c r="B4" s="5">
        <v>46282</v>
      </c>
      <c r="C4" t="s">
        <v>26</v>
      </c>
      <c r="D4" t="s">
        <v>27</v>
      </c>
      <c r="E4" t="s">
        <v>28</v>
      </c>
      <c r="F4" t="s">
        <v>18</v>
      </c>
      <c r="G4" t="s">
        <v>19</v>
      </c>
      <c r="H4" t="s">
        <v>20</v>
      </c>
      <c r="I4">
        <v>2</v>
      </c>
      <c r="J4">
        <v>60000</v>
      </c>
      <c r="K4" s="6">
        <v>0</v>
      </c>
      <c r="L4">
        <v>120000</v>
      </c>
      <c r="M4" t="s">
        <v>29</v>
      </c>
      <c r="N4" t="s">
        <v>22</v>
      </c>
    </row>
    <row r="5" spans="1:14" x14ac:dyDescent="0.3">
      <c r="A5" t="s">
        <v>30</v>
      </c>
      <c r="B5" s="5">
        <v>46273</v>
      </c>
      <c r="C5" t="s">
        <v>31</v>
      </c>
      <c r="D5" t="s">
        <v>32</v>
      </c>
      <c r="E5" t="s">
        <v>33</v>
      </c>
      <c r="F5" t="s">
        <v>34</v>
      </c>
      <c r="G5" t="s">
        <v>35</v>
      </c>
      <c r="H5" t="s">
        <v>36</v>
      </c>
      <c r="I5">
        <v>5</v>
      </c>
      <c r="J5">
        <v>3000</v>
      </c>
      <c r="K5" s="6">
        <v>0.1</v>
      </c>
      <c r="L5">
        <v>13500</v>
      </c>
      <c r="M5" t="s">
        <v>24</v>
      </c>
      <c r="N5" t="s">
        <v>37</v>
      </c>
    </row>
    <row r="6" spans="1:14" x14ac:dyDescent="0.3">
      <c r="A6" t="s">
        <v>38</v>
      </c>
      <c r="B6" s="5">
        <v>46276</v>
      </c>
      <c r="C6" t="s">
        <v>39</v>
      </c>
      <c r="D6" t="s">
        <v>40</v>
      </c>
      <c r="E6" t="s">
        <v>28</v>
      </c>
      <c r="F6" t="s">
        <v>41</v>
      </c>
      <c r="G6" t="s">
        <v>42</v>
      </c>
      <c r="H6" t="s">
        <v>20</v>
      </c>
      <c r="I6">
        <v>2</v>
      </c>
      <c r="J6">
        <v>65000</v>
      </c>
      <c r="K6" s="6">
        <v>0.1</v>
      </c>
      <c r="L6">
        <v>117000</v>
      </c>
      <c r="M6" t="s">
        <v>43</v>
      </c>
      <c r="N6" t="s">
        <v>22</v>
      </c>
    </row>
    <row r="7" spans="1:14" x14ac:dyDescent="0.3">
      <c r="A7" t="s">
        <v>44</v>
      </c>
      <c r="B7" s="5">
        <v>46278</v>
      </c>
      <c r="C7" t="s">
        <v>45</v>
      </c>
      <c r="D7" t="s">
        <v>46</v>
      </c>
      <c r="E7" t="s">
        <v>28</v>
      </c>
      <c r="F7" t="s">
        <v>47</v>
      </c>
      <c r="G7" t="s">
        <v>48</v>
      </c>
      <c r="H7" t="s">
        <v>49</v>
      </c>
      <c r="I7">
        <v>1</v>
      </c>
      <c r="J7">
        <v>12500</v>
      </c>
      <c r="K7" s="6">
        <v>0</v>
      </c>
      <c r="L7">
        <v>12500</v>
      </c>
      <c r="M7" t="s">
        <v>50</v>
      </c>
      <c r="N7" t="s">
        <v>22</v>
      </c>
    </row>
    <row r="8" spans="1:14" x14ac:dyDescent="0.3">
      <c r="A8" t="s">
        <v>51</v>
      </c>
      <c r="B8" s="5">
        <v>46283</v>
      </c>
      <c r="C8" t="s">
        <v>39</v>
      </c>
      <c r="D8" t="s">
        <v>40</v>
      </c>
      <c r="E8" t="s">
        <v>28</v>
      </c>
      <c r="F8" t="s">
        <v>52</v>
      </c>
      <c r="G8" t="s">
        <v>53</v>
      </c>
      <c r="H8" t="s">
        <v>49</v>
      </c>
      <c r="I8">
        <v>1</v>
      </c>
      <c r="J8">
        <v>9000</v>
      </c>
      <c r="K8" s="6">
        <v>0.1</v>
      </c>
      <c r="L8">
        <v>8100</v>
      </c>
      <c r="M8" t="s">
        <v>50</v>
      </c>
      <c r="N8" t="s">
        <v>54</v>
      </c>
    </row>
    <row r="9" spans="1:14" x14ac:dyDescent="0.3">
      <c r="A9" t="s">
        <v>55</v>
      </c>
      <c r="B9" s="5">
        <v>46284</v>
      </c>
      <c r="C9" t="s">
        <v>26</v>
      </c>
      <c r="D9" t="s">
        <v>27</v>
      </c>
      <c r="E9" t="s">
        <v>28</v>
      </c>
      <c r="F9" t="s">
        <v>52</v>
      </c>
      <c r="G9" t="s">
        <v>53</v>
      </c>
      <c r="H9" t="s">
        <v>49</v>
      </c>
      <c r="I9">
        <v>5</v>
      </c>
      <c r="J9">
        <v>9000</v>
      </c>
      <c r="K9" s="6">
        <v>0.05</v>
      </c>
      <c r="L9">
        <v>42750</v>
      </c>
      <c r="M9" t="s">
        <v>21</v>
      </c>
      <c r="N9" t="s">
        <v>22</v>
      </c>
    </row>
    <row r="10" spans="1:14" x14ac:dyDescent="0.3">
      <c r="A10" t="s">
        <v>56</v>
      </c>
      <c r="B10" s="5">
        <v>46293</v>
      </c>
      <c r="C10" t="s">
        <v>26</v>
      </c>
      <c r="D10" t="s">
        <v>27</v>
      </c>
      <c r="E10" t="s">
        <v>28</v>
      </c>
      <c r="F10" t="s">
        <v>34</v>
      </c>
      <c r="G10" t="s">
        <v>35</v>
      </c>
      <c r="H10" t="s">
        <v>36</v>
      </c>
      <c r="I10">
        <v>3</v>
      </c>
      <c r="J10">
        <v>3000</v>
      </c>
      <c r="K10" s="6">
        <v>0</v>
      </c>
      <c r="L10">
        <v>9000</v>
      </c>
      <c r="M10" t="s">
        <v>21</v>
      </c>
      <c r="N10" t="s">
        <v>22</v>
      </c>
    </row>
    <row r="11" spans="1:14" x14ac:dyDescent="0.3">
      <c r="A11" t="s">
        <v>57</v>
      </c>
      <c r="B11" s="5">
        <v>46271</v>
      </c>
      <c r="C11" t="s">
        <v>58</v>
      </c>
      <c r="D11" t="s">
        <v>59</v>
      </c>
      <c r="E11" t="s">
        <v>60</v>
      </c>
      <c r="F11" t="s">
        <v>52</v>
      </c>
      <c r="G11" t="s">
        <v>53</v>
      </c>
      <c r="H11" t="s">
        <v>49</v>
      </c>
      <c r="I11">
        <v>4</v>
      </c>
      <c r="J11">
        <v>9000</v>
      </c>
      <c r="K11" s="6">
        <v>0.05</v>
      </c>
      <c r="L11">
        <v>34200</v>
      </c>
      <c r="M11" t="s">
        <v>43</v>
      </c>
      <c r="N11" t="s">
        <v>22</v>
      </c>
    </row>
    <row r="12" spans="1:14" x14ac:dyDescent="0.3">
      <c r="A12" t="s">
        <v>61</v>
      </c>
      <c r="B12" s="5">
        <v>46286</v>
      </c>
      <c r="C12" t="s">
        <v>45</v>
      </c>
      <c r="D12" t="s">
        <v>46</v>
      </c>
      <c r="E12" t="s">
        <v>17</v>
      </c>
      <c r="F12" t="s">
        <v>52</v>
      </c>
      <c r="G12" t="s">
        <v>53</v>
      </c>
      <c r="H12" t="s">
        <v>49</v>
      </c>
      <c r="I12">
        <v>1</v>
      </c>
      <c r="J12">
        <v>9000</v>
      </c>
      <c r="K12" s="6">
        <v>0.15</v>
      </c>
      <c r="L12">
        <v>7650</v>
      </c>
      <c r="M12" t="s">
        <v>21</v>
      </c>
      <c r="N12" t="s">
        <v>37</v>
      </c>
    </row>
    <row r="13" spans="1:14" x14ac:dyDescent="0.3">
      <c r="A13" t="s">
        <v>62</v>
      </c>
      <c r="B13" s="5">
        <v>46278</v>
      </c>
      <c r="C13" t="s">
        <v>15</v>
      </c>
      <c r="D13" t="s">
        <v>16</v>
      </c>
      <c r="E13" t="s">
        <v>17</v>
      </c>
      <c r="F13" t="s">
        <v>34</v>
      </c>
      <c r="G13" t="s">
        <v>35</v>
      </c>
      <c r="H13" t="s">
        <v>36</v>
      </c>
      <c r="I13">
        <v>2</v>
      </c>
      <c r="J13">
        <v>3000</v>
      </c>
      <c r="K13" s="6">
        <v>0.1</v>
      </c>
      <c r="L13">
        <v>5400</v>
      </c>
      <c r="M13" t="s">
        <v>43</v>
      </c>
      <c r="N13" t="s">
        <v>37</v>
      </c>
    </row>
    <row r="14" spans="1:14" x14ac:dyDescent="0.3">
      <c r="A14" t="s">
        <v>63</v>
      </c>
      <c r="B14" s="5">
        <v>46292</v>
      </c>
      <c r="D14" t="s">
        <v>46</v>
      </c>
      <c r="E14" t="s">
        <v>17</v>
      </c>
      <c r="F14" t="s">
        <v>47</v>
      </c>
      <c r="G14" t="s">
        <v>48</v>
      </c>
      <c r="H14" t="s">
        <v>49</v>
      </c>
      <c r="I14">
        <v>1</v>
      </c>
      <c r="J14">
        <v>12500</v>
      </c>
      <c r="K14" s="6">
        <v>0</v>
      </c>
      <c r="L14">
        <v>12500</v>
      </c>
      <c r="M14" t="s">
        <v>50</v>
      </c>
      <c r="N14" t="s">
        <v>22</v>
      </c>
    </row>
    <row r="15" spans="1:14" x14ac:dyDescent="0.3">
      <c r="A15" t="s">
        <v>64</v>
      </c>
      <c r="B15" s="5">
        <v>46295</v>
      </c>
      <c r="C15" t="s">
        <v>58</v>
      </c>
      <c r="D15" t="s">
        <v>59</v>
      </c>
      <c r="E15" t="s">
        <v>60</v>
      </c>
      <c r="F15" t="s">
        <v>52</v>
      </c>
      <c r="G15" t="s">
        <v>53</v>
      </c>
      <c r="H15" t="s">
        <v>49</v>
      </c>
      <c r="I15">
        <v>1</v>
      </c>
      <c r="J15">
        <v>9000</v>
      </c>
      <c r="K15" s="6">
        <v>0</v>
      </c>
      <c r="L15">
        <v>9000</v>
      </c>
      <c r="M15" t="s">
        <v>29</v>
      </c>
      <c r="N15" t="s">
        <v>22</v>
      </c>
    </row>
    <row r="16" spans="1:14" x14ac:dyDescent="0.3">
      <c r="A16" t="s">
        <v>65</v>
      </c>
      <c r="B16" s="5">
        <v>46270</v>
      </c>
      <c r="C16" t="s">
        <v>45</v>
      </c>
      <c r="D16" t="s">
        <v>46</v>
      </c>
      <c r="E16" t="s">
        <v>17</v>
      </c>
      <c r="F16" t="s">
        <v>66</v>
      </c>
      <c r="G16" t="s">
        <v>67</v>
      </c>
      <c r="H16" t="s">
        <v>36</v>
      </c>
      <c r="I16">
        <v>4</v>
      </c>
      <c r="J16">
        <v>4500</v>
      </c>
      <c r="K16" s="6">
        <v>0.1</v>
      </c>
      <c r="L16">
        <v>16200</v>
      </c>
      <c r="M16" t="s">
        <v>43</v>
      </c>
      <c r="N16" t="s">
        <v>22</v>
      </c>
    </row>
    <row r="17" spans="1:14" x14ac:dyDescent="0.3">
      <c r="A17" t="s">
        <v>68</v>
      </c>
      <c r="B17" s="5">
        <v>46294</v>
      </c>
      <c r="C17" t="s">
        <v>45</v>
      </c>
      <c r="D17" t="s">
        <v>46</v>
      </c>
      <c r="E17" t="s">
        <v>17</v>
      </c>
      <c r="F17" t="s">
        <v>52</v>
      </c>
      <c r="G17" t="s">
        <v>53</v>
      </c>
      <c r="H17" t="s">
        <v>49</v>
      </c>
      <c r="I17">
        <v>5</v>
      </c>
      <c r="J17">
        <v>9000</v>
      </c>
      <c r="K17" s="6">
        <v>0.1</v>
      </c>
      <c r="L17">
        <v>40500</v>
      </c>
      <c r="M17" t="s">
        <v>29</v>
      </c>
      <c r="N17" t="s">
        <v>54</v>
      </c>
    </row>
    <row r="18" spans="1:14" x14ac:dyDescent="0.3">
      <c r="A18" t="s">
        <v>69</v>
      </c>
      <c r="B18" s="5">
        <v>46281</v>
      </c>
      <c r="C18" t="s">
        <v>39</v>
      </c>
      <c r="D18" t="s">
        <v>40</v>
      </c>
      <c r="E18" t="s">
        <v>28</v>
      </c>
      <c r="F18" t="s">
        <v>34</v>
      </c>
      <c r="G18" t="s">
        <v>35</v>
      </c>
      <c r="H18" t="s">
        <v>36</v>
      </c>
      <c r="I18">
        <v>2</v>
      </c>
      <c r="J18">
        <v>3000</v>
      </c>
      <c r="K18" s="6">
        <v>0.15</v>
      </c>
      <c r="L18">
        <v>5100</v>
      </c>
      <c r="M18" t="s">
        <v>50</v>
      </c>
      <c r="N18" t="s">
        <v>22</v>
      </c>
    </row>
    <row r="19" spans="1:14" x14ac:dyDescent="0.3">
      <c r="A19" t="s">
        <v>70</v>
      </c>
      <c r="B19" s="5">
        <v>46285</v>
      </c>
      <c r="C19" t="s">
        <v>26</v>
      </c>
      <c r="D19" t="s">
        <v>27</v>
      </c>
      <c r="E19" t="s">
        <v>28</v>
      </c>
      <c r="F19" t="s">
        <v>71</v>
      </c>
      <c r="G19" t="s">
        <v>72</v>
      </c>
      <c r="H19" t="s">
        <v>36</v>
      </c>
      <c r="I19">
        <v>2</v>
      </c>
      <c r="J19">
        <v>1200</v>
      </c>
      <c r="K19" s="6">
        <v>0.1</v>
      </c>
      <c r="L19">
        <v>2160</v>
      </c>
      <c r="M19" t="s">
        <v>50</v>
      </c>
      <c r="N19" t="s">
        <v>54</v>
      </c>
    </row>
    <row r="20" spans="1:14" x14ac:dyDescent="0.3">
      <c r="A20" t="s">
        <v>73</v>
      </c>
      <c r="B20" s="5">
        <v>46283</v>
      </c>
      <c r="C20" t="s">
        <v>58</v>
      </c>
      <c r="D20" t="s">
        <v>59</v>
      </c>
      <c r="E20" t="s">
        <v>60</v>
      </c>
      <c r="F20" t="s">
        <v>66</v>
      </c>
      <c r="G20" t="s">
        <v>67</v>
      </c>
      <c r="H20" t="s">
        <v>36</v>
      </c>
      <c r="I20">
        <v>5</v>
      </c>
      <c r="J20">
        <v>4500</v>
      </c>
      <c r="K20" s="6">
        <v>0.05</v>
      </c>
      <c r="L20">
        <v>21375</v>
      </c>
      <c r="M20" t="s">
        <v>50</v>
      </c>
      <c r="N20" t="s">
        <v>22</v>
      </c>
    </row>
    <row r="21" spans="1:14" x14ac:dyDescent="0.3">
      <c r="A21" t="s">
        <v>74</v>
      </c>
      <c r="B21" s="5">
        <v>46275</v>
      </c>
      <c r="C21" t="s">
        <v>15</v>
      </c>
      <c r="D21" t="s">
        <v>16</v>
      </c>
      <c r="E21" t="s">
        <v>28</v>
      </c>
      <c r="F21" t="s">
        <v>52</v>
      </c>
      <c r="G21" t="s">
        <v>53</v>
      </c>
      <c r="H21" t="s">
        <v>49</v>
      </c>
      <c r="I21">
        <v>3</v>
      </c>
      <c r="J21">
        <v>9000</v>
      </c>
      <c r="K21" s="6">
        <v>0</v>
      </c>
      <c r="L21">
        <v>27000</v>
      </c>
      <c r="M21" t="s">
        <v>24</v>
      </c>
      <c r="N21" t="s">
        <v>22</v>
      </c>
    </row>
    <row r="22" spans="1:14" x14ac:dyDescent="0.3">
      <c r="A22" t="s">
        <v>75</v>
      </c>
      <c r="B22" s="5">
        <v>46290</v>
      </c>
      <c r="C22" t="s">
        <v>58</v>
      </c>
      <c r="D22" t="s">
        <v>59</v>
      </c>
      <c r="E22" t="s">
        <v>60</v>
      </c>
      <c r="F22" t="s">
        <v>41</v>
      </c>
      <c r="G22" t="s">
        <v>42</v>
      </c>
      <c r="H22" t="s">
        <v>20</v>
      </c>
      <c r="I22">
        <v>3</v>
      </c>
      <c r="J22">
        <v>65000</v>
      </c>
      <c r="K22" s="6">
        <v>0.15</v>
      </c>
      <c r="L22">
        <v>165750</v>
      </c>
      <c r="M22" t="s">
        <v>21</v>
      </c>
      <c r="N22" t="s">
        <v>37</v>
      </c>
    </row>
    <row r="23" spans="1:14" x14ac:dyDescent="0.3">
      <c r="A23" t="s">
        <v>76</v>
      </c>
      <c r="B23" s="5">
        <v>46272</v>
      </c>
      <c r="C23" t="s">
        <v>26</v>
      </c>
      <c r="D23" t="s">
        <v>27</v>
      </c>
      <c r="E23" t="s">
        <v>28</v>
      </c>
      <c r="F23" t="s">
        <v>52</v>
      </c>
      <c r="G23" t="s">
        <v>53</v>
      </c>
      <c r="H23" t="s">
        <v>49</v>
      </c>
      <c r="I23">
        <v>5</v>
      </c>
      <c r="J23">
        <v>9000</v>
      </c>
      <c r="K23" s="6">
        <v>0.15</v>
      </c>
      <c r="L23">
        <v>38250</v>
      </c>
      <c r="M23" t="s">
        <v>21</v>
      </c>
      <c r="N23" t="s">
        <v>22</v>
      </c>
    </row>
    <row r="24" spans="1:14" x14ac:dyDescent="0.3">
      <c r="A24" t="s">
        <v>77</v>
      </c>
      <c r="B24" s="5">
        <v>46281</v>
      </c>
      <c r="C24" t="s">
        <v>45</v>
      </c>
      <c r="D24" t="s">
        <v>46</v>
      </c>
      <c r="E24" t="s">
        <v>17</v>
      </c>
      <c r="F24" t="s">
        <v>41</v>
      </c>
      <c r="G24" t="s">
        <v>42</v>
      </c>
      <c r="H24" t="s">
        <v>20</v>
      </c>
      <c r="I24">
        <v>5</v>
      </c>
      <c r="J24">
        <v>65000</v>
      </c>
      <c r="K24" s="6">
        <v>0.05</v>
      </c>
      <c r="L24">
        <v>308750</v>
      </c>
      <c r="M24" t="s">
        <v>50</v>
      </c>
      <c r="N24" t="s">
        <v>22</v>
      </c>
    </row>
    <row r="25" spans="1:14" x14ac:dyDescent="0.3">
      <c r="A25" t="s">
        <v>78</v>
      </c>
      <c r="B25" s="5">
        <v>46273</v>
      </c>
      <c r="C25" t="s">
        <v>39</v>
      </c>
      <c r="D25" t="s">
        <v>40</v>
      </c>
      <c r="E25" t="s">
        <v>28</v>
      </c>
      <c r="F25" t="s">
        <v>52</v>
      </c>
      <c r="G25" t="s">
        <v>53</v>
      </c>
      <c r="H25" t="s">
        <v>49</v>
      </c>
      <c r="I25">
        <v>2</v>
      </c>
      <c r="J25">
        <v>9000</v>
      </c>
      <c r="K25" s="6">
        <v>0</v>
      </c>
      <c r="L25">
        <v>18000</v>
      </c>
      <c r="M25" t="s">
        <v>29</v>
      </c>
      <c r="N25" t="s">
        <v>22</v>
      </c>
    </row>
    <row r="26" spans="1:14" x14ac:dyDescent="0.3">
      <c r="A26" t="s">
        <v>79</v>
      </c>
      <c r="B26" s="5">
        <v>46290</v>
      </c>
      <c r="C26" t="s">
        <v>26</v>
      </c>
      <c r="D26" t="s">
        <v>27</v>
      </c>
      <c r="E26" t="s">
        <v>28</v>
      </c>
      <c r="F26" t="s">
        <v>66</v>
      </c>
      <c r="G26" t="s">
        <v>67</v>
      </c>
      <c r="H26" t="s">
        <v>36</v>
      </c>
      <c r="I26">
        <v>1</v>
      </c>
      <c r="J26">
        <v>4500</v>
      </c>
      <c r="K26" s="6">
        <v>0.15</v>
      </c>
      <c r="L26">
        <v>3825</v>
      </c>
      <c r="M26" t="s">
        <v>21</v>
      </c>
      <c r="N26" t="s">
        <v>22</v>
      </c>
    </row>
    <row r="27" spans="1:14" x14ac:dyDescent="0.3">
      <c r="A27" t="s">
        <v>80</v>
      </c>
      <c r="B27" s="5">
        <v>46274</v>
      </c>
      <c r="C27" t="s">
        <v>15</v>
      </c>
      <c r="D27" t="s">
        <v>16</v>
      </c>
      <c r="E27" t="s">
        <v>17</v>
      </c>
      <c r="F27" t="s">
        <v>66</v>
      </c>
      <c r="G27" t="s">
        <v>67</v>
      </c>
      <c r="H27" t="s">
        <v>36</v>
      </c>
      <c r="I27">
        <v>5</v>
      </c>
      <c r="J27">
        <v>4500</v>
      </c>
      <c r="K27" s="6">
        <v>0</v>
      </c>
      <c r="L27">
        <v>22500</v>
      </c>
      <c r="M27" t="s">
        <v>29</v>
      </c>
      <c r="N27" t="s">
        <v>37</v>
      </c>
    </row>
    <row r="28" spans="1:14" x14ac:dyDescent="0.3">
      <c r="A28" t="s">
        <v>81</v>
      </c>
      <c r="B28" s="5">
        <v>46288</v>
      </c>
      <c r="C28" t="s">
        <v>58</v>
      </c>
      <c r="D28" t="s">
        <v>59</v>
      </c>
      <c r="E28" t="s">
        <v>60</v>
      </c>
      <c r="F28" t="s">
        <v>34</v>
      </c>
      <c r="G28" t="s">
        <v>35</v>
      </c>
      <c r="H28" t="s">
        <v>36</v>
      </c>
      <c r="I28">
        <v>5</v>
      </c>
      <c r="J28">
        <v>3000</v>
      </c>
      <c r="K28" s="6">
        <v>0</v>
      </c>
      <c r="L28">
        <v>15000</v>
      </c>
      <c r="M28" t="s">
        <v>43</v>
      </c>
      <c r="N28" t="s">
        <v>54</v>
      </c>
    </row>
    <row r="29" spans="1:14" x14ac:dyDescent="0.3">
      <c r="A29" t="s">
        <v>82</v>
      </c>
      <c r="B29" s="5">
        <v>46280</v>
      </c>
      <c r="C29" t="s">
        <v>15</v>
      </c>
      <c r="D29" t="s">
        <v>16</v>
      </c>
      <c r="E29" t="s">
        <v>17</v>
      </c>
      <c r="F29" t="s">
        <v>47</v>
      </c>
      <c r="G29" t="s">
        <v>48</v>
      </c>
      <c r="H29" t="s">
        <v>49</v>
      </c>
      <c r="I29">
        <v>4</v>
      </c>
      <c r="J29">
        <v>12500</v>
      </c>
      <c r="K29" s="6">
        <v>0.15</v>
      </c>
      <c r="L29">
        <v>42500</v>
      </c>
      <c r="N29" t="s">
        <v>22</v>
      </c>
    </row>
    <row r="30" spans="1:14" x14ac:dyDescent="0.3">
      <c r="A30" t="s">
        <v>83</v>
      </c>
      <c r="B30" s="5">
        <v>46284</v>
      </c>
      <c r="C30" t="s">
        <v>45</v>
      </c>
      <c r="D30" t="s">
        <v>46</v>
      </c>
      <c r="E30" t="s">
        <v>17</v>
      </c>
      <c r="F30" t="s">
        <v>18</v>
      </c>
      <c r="G30" t="s">
        <v>19</v>
      </c>
      <c r="H30" t="s">
        <v>20</v>
      </c>
      <c r="I30">
        <v>3</v>
      </c>
      <c r="J30">
        <v>60000</v>
      </c>
      <c r="K30" s="6">
        <v>0</v>
      </c>
      <c r="L30">
        <v>180000</v>
      </c>
      <c r="M30" t="s">
        <v>29</v>
      </c>
      <c r="N30" t="s">
        <v>22</v>
      </c>
    </row>
    <row r="31" spans="1:14" x14ac:dyDescent="0.3">
      <c r="A31" t="s">
        <v>84</v>
      </c>
      <c r="B31" s="5">
        <v>46288</v>
      </c>
      <c r="C31" t="s">
        <v>31</v>
      </c>
      <c r="D31" t="s">
        <v>32</v>
      </c>
      <c r="E31" t="s">
        <v>33</v>
      </c>
      <c r="F31" t="s">
        <v>34</v>
      </c>
      <c r="G31" t="s">
        <v>35</v>
      </c>
      <c r="H31" t="s">
        <v>36</v>
      </c>
      <c r="I31">
        <v>1</v>
      </c>
      <c r="J31">
        <v>3000</v>
      </c>
      <c r="K31" s="6">
        <v>0</v>
      </c>
      <c r="L31">
        <v>3000</v>
      </c>
      <c r="M31" t="s">
        <v>50</v>
      </c>
      <c r="N31" t="s">
        <v>22</v>
      </c>
    </row>
    <row r="32" spans="1:14" x14ac:dyDescent="0.3">
      <c r="A32" t="s">
        <v>85</v>
      </c>
      <c r="B32" s="5">
        <v>46282</v>
      </c>
      <c r="C32" t="s">
        <v>26</v>
      </c>
      <c r="D32" t="s">
        <v>27</v>
      </c>
      <c r="E32" t="s">
        <v>28</v>
      </c>
      <c r="F32" t="s">
        <v>41</v>
      </c>
      <c r="G32" t="s">
        <v>42</v>
      </c>
      <c r="H32" t="s">
        <v>20</v>
      </c>
      <c r="I32">
        <v>3</v>
      </c>
      <c r="J32">
        <v>65000</v>
      </c>
      <c r="K32" s="6">
        <v>0</v>
      </c>
      <c r="L32">
        <v>195000</v>
      </c>
      <c r="M32" t="s">
        <v>21</v>
      </c>
      <c r="N32" t="s">
        <v>22</v>
      </c>
    </row>
    <row r="33" spans="1:14" x14ac:dyDescent="0.3">
      <c r="A33" t="s">
        <v>86</v>
      </c>
      <c r="B33" s="5">
        <v>46270</v>
      </c>
      <c r="C33" t="s">
        <v>15</v>
      </c>
      <c r="D33" t="s">
        <v>16</v>
      </c>
      <c r="E33" t="s">
        <v>17</v>
      </c>
      <c r="F33" t="s">
        <v>66</v>
      </c>
      <c r="G33" t="s">
        <v>67</v>
      </c>
      <c r="H33" t="s">
        <v>36</v>
      </c>
      <c r="I33">
        <v>2</v>
      </c>
      <c r="J33">
        <v>4500</v>
      </c>
      <c r="K33" s="6">
        <v>0.15</v>
      </c>
      <c r="L33">
        <v>7650</v>
      </c>
      <c r="M33" t="s">
        <v>29</v>
      </c>
      <c r="N33" t="s">
        <v>37</v>
      </c>
    </row>
    <row r="34" spans="1:14" x14ac:dyDescent="0.3">
      <c r="A34" t="s">
        <v>87</v>
      </c>
      <c r="B34" s="5">
        <v>46272</v>
      </c>
      <c r="C34" t="s">
        <v>58</v>
      </c>
      <c r="D34" t="s">
        <v>59</v>
      </c>
      <c r="E34" t="s">
        <v>60</v>
      </c>
      <c r="F34" t="s">
        <v>34</v>
      </c>
      <c r="G34" t="s">
        <v>35</v>
      </c>
      <c r="H34" t="s">
        <v>36</v>
      </c>
      <c r="I34">
        <v>4</v>
      </c>
      <c r="J34">
        <v>3000</v>
      </c>
      <c r="K34" s="6">
        <v>0.1</v>
      </c>
      <c r="L34">
        <v>10800</v>
      </c>
      <c r="M34" t="s">
        <v>50</v>
      </c>
      <c r="N34" t="s">
        <v>22</v>
      </c>
    </row>
    <row r="35" spans="1:14" x14ac:dyDescent="0.3">
      <c r="A35" t="s">
        <v>88</v>
      </c>
      <c r="B35" s="5">
        <v>46279</v>
      </c>
      <c r="C35" t="s">
        <v>15</v>
      </c>
      <c r="D35" t="s">
        <v>16</v>
      </c>
      <c r="E35" t="s">
        <v>17</v>
      </c>
      <c r="F35" t="s">
        <v>89</v>
      </c>
      <c r="G35" t="s">
        <v>90</v>
      </c>
      <c r="H35" t="s">
        <v>36</v>
      </c>
      <c r="I35" t="s">
        <v>91</v>
      </c>
      <c r="J35">
        <v>3500</v>
      </c>
      <c r="K35" s="6">
        <v>0.1</v>
      </c>
      <c r="L35">
        <v>9450</v>
      </c>
      <c r="M35" t="s">
        <v>24</v>
      </c>
      <c r="N35" t="s">
        <v>22</v>
      </c>
    </row>
    <row r="36" spans="1:14" x14ac:dyDescent="0.3">
      <c r="A36" t="s">
        <v>92</v>
      </c>
      <c r="B36" s="5">
        <v>46289</v>
      </c>
      <c r="C36" t="s">
        <v>15</v>
      </c>
      <c r="D36" t="s">
        <v>16</v>
      </c>
      <c r="E36" t="s">
        <v>17</v>
      </c>
      <c r="F36" t="s">
        <v>18</v>
      </c>
      <c r="G36" t="s">
        <v>19</v>
      </c>
      <c r="H36" t="s">
        <v>20</v>
      </c>
      <c r="I36">
        <v>1</v>
      </c>
      <c r="J36">
        <v>60000</v>
      </c>
      <c r="K36" s="6">
        <v>0.1</v>
      </c>
      <c r="L36">
        <v>54000</v>
      </c>
      <c r="M36" t="s">
        <v>43</v>
      </c>
      <c r="N36" t="s">
        <v>22</v>
      </c>
    </row>
    <row r="37" spans="1:14" x14ac:dyDescent="0.3">
      <c r="A37" t="s">
        <v>93</v>
      </c>
      <c r="B37" s="5">
        <v>46280</v>
      </c>
      <c r="C37" t="s">
        <v>45</v>
      </c>
      <c r="D37" t="s">
        <v>46</v>
      </c>
      <c r="E37" t="s">
        <v>17</v>
      </c>
      <c r="F37" t="s">
        <v>34</v>
      </c>
      <c r="G37" t="s">
        <v>35</v>
      </c>
      <c r="H37" t="s">
        <v>36</v>
      </c>
      <c r="I37">
        <v>2</v>
      </c>
      <c r="J37">
        <v>3000</v>
      </c>
      <c r="K37" s="6">
        <v>0.15</v>
      </c>
      <c r="L37">
        <v>5100</v>
      </c>
      <c r="M37" t="s">
        <v>21</v>
      </c>
      <c r="N37" t="s">
        <v>54</v>
      </c>
    </row>
    <row r="38" spans="1:14" x14ac:dyDescent="0.3">
      <c r="A38" t="s">
        <v>94</v>
      </c>
      <c r="B38" s="5">
        <v>46293</v>
      </c>
      <c r="C38" t="s">
        <v>45</v>
      </c>
      <c r="D38" t="s">
        <v>46</v>
      </c>
      <c r="E38" t="s">
        <v>17</v>
      </c>
      <c r="F38" t="s">
        <v>52</v>
      </c>
      <c r="G38" t="s">
        <v>53</v>
      </c>
      <c r="H38" t="s">
        <v>49</v>
      </c>
      <c r="I38">
        <v>4</v>
      </c>
      <c r="J38">
        <v>9000</v>
      </c>
      <c r="K38" s="6">
        <v>0</v>
      </c>
      <c r="L38">
        <v>36000</v>
      </c>
      <c r="M38" t="s">
        <v>50</v>
      </c>
      <c r="N38" t="s">
        <v>54</v>
      </c>
    </row>
    <row r="39" spans="1:14" x14ac:dyDescent="0.3">
      <c r="A39" t="s">
        <v>95</v>
      </c>
      <c r="B39" s="5">
        <v>46292</v>
      </c>
      <c r="C39" t="s">
        <v>31</v>
      </c>
      <c r="D39" t="s">
        <v>32</v>
      </c>
      <c r="E39" t="s">
        <v>17</v>
      </c>
      <c r="F39" t="s">
        <v>18</v>
      </c>
      <c r="G39" t="s">
        <v>19</v>
      </c>
      <c r="H39" t="s">
        <v>20</v>
      </c>
      <c r="I39">
        <v>1</v>
      </c>
      <c r="J39">
        <v>60000</v>
      </c>
      <c r="K39" s="6">
        <v>0.15</v>
      </c>
      <c r="L39">
        <v>51000</v>
      </c>
      <c r="M39" t="s">
        <v>50</v>
      </c>
      <c r="N39" t="s">
        <v>22</v>
      </c>
    </row>
    <row r="40" spans="1:14" x14ac:dyDescent="0.3">
      <c r="A40" t="s">
        <v>96</v>
      </c>
      <c r="B40" s="5">
        <v>46281</v>
      </c>
      <c r="C40" t="s">
        <v>45</v>
      </c>
      <c r="D40" t="s">
        <v>46</v>
      </c>
      <c r="E40" t="s">
        <v>17</v>
      </c>
      <c r="F40" t="s">
        <v>71</v>
      </c>
      <c r="G40" t="s">
        <v>72</v>
      </c>
      <c r="H40" t="s">
        <v>36</v>
      </c>
      <c r="I40">
        <v>4</v>
      </c>
      <c r="J40">
        <v>1200</v>
      </c>
      <c r="K40" s="6">
        <v>0.1</v>
      </c>
      <c r="L40">
        <v>4320</v>
      </c>
      <c r="M40" t="s">
        <v>21</v>
      </c>
      <c r="N40" t="s">
        <v>54</v>
      </c>
    </row>
    <row r="41" spans="1:14" x14ac:dyDescent="0.3">
      <c r="A41" t="s">
        <v>97</v>
      </c>
      <c r="B41" s="5">
        <v>46278</v>
      </c>
      <c r="C41" t="s">
        <v>26</v>
      </c>
      <c r="D41" t="s">
        <v>27</v>
      </c>
      <c r="E41" t="s">
        <v>28</v>
      </c>
      <c r="F41" t="s">
        <v>71</v>
      </c>
      <c r="G41" t="s">
        <v>72</v>
      </c>
      <c r="H41" t="s">
        <v>36</v>
      </c>
      <c r="I41">
        <v>4</v>
      </c>
      <c r="J41">
        <v>1200</v>
      </c>
      <c r="K41" s="6">
        <v>0</v>
      </c>
      <c r="L41">
        <v>4800</v>
      </c>
      <c r="M41" t="s">
        <v>43</v>
      </c>
      <c r="N41" t="s">
        <v>54</v>
      </c>
    </row>
    <row r="42" spans="1:14" x14ac:dyDescent="0.3">
      <c r="A42" t="s">
        <v>98</v>
      </c>
      <c r="B42" s="5">
        <v>46270</v>
      </c>
      <c r="C42" t="s">
        <v>39</v>
      </c>
      <c r="D42" t="s">
        <v>40</v>
      </c>
      <c r="E42" t="s">
        <v>28</v>
      </c>
      <c r="F42" t="s">
        <v>89</v>
      </c>
      <c r="G42" t="s">
        <v>90</v>
      </c>
      <c r="H42" t="s">
        <v>36</v>
      </c>
      <c r="I42">
        <v>5</v>
      </c>
      <c r="J42">
        <v>3500</v>
      </c>
      <c r="K42" s="6">
        <v>0.1</v>
      </c>
      <c r="L42">
        <v>15750</v>
      </c>
      <c r="M42" t="s">
        <v>21</v>
      </c>
      <c r="N42" t="s">
        <v>22</v>
      </c>
    </row>
    <row r="43" spans="1:14" x14ac:dyDescent="0.3">
      <c r="A43" t="s">
        <v>99</v>
      </c>
      <c r="B43" s="5">
        <v>46267</v>
      </c>
      <c r="C43" t="s">
        <v>45</v>
      </c>
      <c r="D43" t="s">
        <v>46</v>
      </c>
      <c r="E43" t="s">
        <v>17</v>
      </c>
      <c r="F43" t="s">
        <v>41</v>
      </c>
      <c r="G43" t="s">
        <v>42</v>
      </c>
      <c r="H43" t="s">
        <v>20</v>
      </c>
      <c r="I43">
        <v>5</v>
      </c>
      <c r="J43">
        <v>65000</v>
      </c>
      <c r="K43" s="6">
        <v>0.15</v>
      </c>
      <c r="L43">
        <v>276250</v>
      </c>
      <c r="M43" t="s">
        <v>43</v>
      </c>
      <c r="N43" t="s">
        <v>22</v>
      </c>
    </row>
    <row r="44" spans="1:14" x14ac:dyDescent="0.3">
      <c r="A44" t="s">
        <v>100</v>
      </c>
      <c r="B44" s="5">
        <v>46271</v>
      </c>
      <c r="C44" t="s">
        <v>26</v>
      </c>
      <c r="D44" t="s">
        <v>27</v>
      </c>
      <c r="E44" t="s">
        <v>28</v>
      </c>
      <c r="F44" t="s">
        <v>66</v>
      </c>
      <c r="G44" t="s">
        <v>67</v>
      </c>
      <c r="H44" t="s">
        <v>36</v>
      </c>
      <c r="I44">
        <v>5</v>
      </c>
      <c r="J44">
        <v>4500</v>
      </c>
      <c r="K44" s="6">
        <v>0.15</v>
      </c>
      <c r="L44">
        <v>19125</v>
      </c>
      <c r="M44" t="s">
        <v>50</v>
      </c>
      <c r="N44" t="s">
        <v>37</v>
      </c>
    </row>
    <row r="45" spans="1:14" x14ac:dyDescent="0.3">
      <c r="A45" t="s">
        <v>101</v>
      </c>
      <c r="B45" s="5">
        <v>46268</v>
      </c>
      <c r="C45" t="s">
        <v>26</v>
      </c>
      <c r="D45" t="s">
        <v>27</v>
      </c>
      <c r="E45" t="s">
        <v>28</v>
      </c>
      <c r="F45" t="s">
        <v>71</v>
      </c>
      <c r="G45" t="s">
        <v>72</v>
      </c>
      <c r="H45" t="s">
        <v>36</v>
      </c>
      <c r="I45">
        <v>1</v>
      </c>
      <c r="J45">
        <v>1200</v>
      </c>
      <c r="K45" s="6">
        <v>0.15</v>
      </c>
      <c r="L45">
        <v>1020</v>
      </c>
      <c r="M45" t="s">
        <v>21</v>
      </c>
      <c r="N45" t="s">
        <v>54</v>
      </c>
    </row>
    <row r="46" spans="1:14" x14ac:dyDescent="0.3">
      <c r="A46" t="s">
        <v>102</v>
      </c>
      <c r="B46" s="5">
        <v>46280</v>
      </c>
      <c r="C46" t="s">
        <v>26</v>
      </c>
      <c r="D46" t="s">
        <v>27</v>
      </c>
      <c r="E46" t="s">
        <v>28</v>
      </c>
      <c r="F46" t="s">
        <v>34</v>
      </c>
      <c r="G46" t="s">
        <v>35</v>
      </c>
      <c r="H46" t="s">
        <v>36</v>
      </c>
      <c r="I46">
        <v>5</v>
      </c>
      <c r="J46">
        <v>3000</v>
      </c>
      <c r="K46" s="6">
        <v>0.15</v>
      </c>
      <c r="L46">
        <v>12750</v>
      </c>
      <c r="M46" t="s">
        <v>29</v>
      </c>
      <c r="N46" t="s">
        <v>22</v>
      </c>
    </row>
    <row r="47" spans="1:14" x14ac:dyDescent="0.3">
      <c r="A47" t="s">
        <v>103</v>
      </c>
      <c r="B47" s="5">
        <v>46287</v>
      </c>
      <c r="C47" t="s">
        <v>58</v>
      </c>
      <c r="D47" t="s">
        <v>59</v>
      </c>
      <c r="E47" t="s">
        <v>60</v>
      </c>
      <c r="F47" t="s">
        <v>47</v>
      </c>
      <c r="G47" t="s">
        <v>48</v>
      </c>
      <c r="H47" t="s">
        <v>49</v>
      </c>
      <c r="I47">
        <v>3</v>
      </c>
      <c r="J47">
        <v>12500</v>
      </c>
      <c r="K47" s="6">
        <v>0</v>
      </c>
      <c r="L47">
        <v>37500</v>
      </c>
      <c r="M47" t="s">
        <v>43</v>
      </c>
      <c r="N47" t="s">
        <v>22</v>
      </c>
    </row>
    <row r="48" spans="1:14" x14ac:dyDescent="0.3">
      <c r="A48" t="s">
        <v>104</v>
      </c>
      <c r="B48" s="5">
        <v>46280</v>
      </c>
      <c r="C48" t="s">
        <v>39</v>
      </c>
      <c r="D48" t="s">
        <v>40</v>
      </c>
      <c r="E48" t="s">
        <v>28</v>
      </c>
      <c r="F48" t="s">
        <v>89</v>
      </c>
      <c r="G48" t="s">
        <v>90</v>
      </c>
      <c r="H48" t="s">
        <v>36</v>
      </c>
      <c r="I48">
        <v>2</v>
      </c>
      <c r="J48">
        <v>3500</v>
      </c>
      <c r="K48" s="6">
        <v>0.05</v>
      </c>
      <c r="L48">
        <v>6650</v>
      </c>
      <c r="M48" t="s">
        <v>43</v>
      </c>
      <c r="N48" t="s">
        <v>22</v>
      </c>
    </row>
    <row r="49" spans="1:14" x14ac:dyDescent="0.3">
      <c r="A49" t="s">
        <v>105</v>
      </c>
      <c r="B49" s="5">
        <v>46269</v>
      </c>
      <c r="C49" t="s">
        <v>26</v>
      </c>
      <c r="D49" t="s">
        <v>27</v>
      </c>
      <c r="E49" t="s">
        <v>28</v>
      </c>
      <c r="F49" t="s">
        <v>66</v>
      </c>
      <c r="G49" t="s">
        <v>67</v>
      </c>
      <c r="H49" t="s">
        <v>36</v>
      </c>
      <c r="I49">
        <v>5</v>
      </c>
      <c r="J49">
        <v>4500</v>
      </c>
      <c r="K49" s="6">
        <v>0.15</v>
      </c>
      <c r="L49">
        <v>19125</v>
      </c>
      <c r="M49" t="s">
        <v>50</v>
      </c>
      <c r="N49" t="s">
        <v>37</v>
      </c>
    </row>
    <row r="50" spans="1:14" x14ac:dyDescent="0.3">
      <c r="A50" t="s">
        <v>106</v>
      </c>
      <c r="B50" s="5">
        <v>46294</v>
      </c>
      <c r="C50" t="s">
        <v>45</v>
      </c>
      <c r="D50" t="s">
        <v>46</v>
      </c>
      <c r="E50" t="s">
        <v>17</v>
      </c>
      <c r="F50" t="s">
        <v>52</v>
      </c>
      <c r="G50" t="s">
        <v>53</v>
      </c>
      <c r="H50" t="s">
        <v>49</v>
      </c>
      <c r="I50">
        <v>2</v>
      </c>
      <c r="J50">
        <v>9000</v>
      </c>
      <c r="K50" s="6">
        <v>0.05</v>
      </c>
      <c r="L50">
        <v>17100</v>
      </c>
      <c r="M50" t="s">
        <v>50</v>
      </c>
      <c r="N50" t="s">
        <v>22</v>
      </c>
    </row>
    <row r="51" spans="1:14" x14ac:dyDescent="0.3">
      <c r="A51" t="s">
        <v>107</v>
      </c>
      <c r="B51" s="5">
        <v>46292</v>
      </c>
      <c r="C51" t="s">
        <v>39</v>
      </c>
      <c r="D51" t="s">
        <v>40</v>
      </c>
      <c r="E51" t="s">
        <v>28</v>
      </c>
      <c r="F51" t="s">
        <v>52</v>
      </c>
      <c r="G51" t="s">
        <v>53</v>
      </c>
      <c r="H51" t="s">
        <v>49</v>
      </c>
      <c r="I51">
        <v>2</v>
      </c>
      <c r="J51">
        <v>9000</v>
      </c>
      <c r="K51" s="6">
        <v>0.1</v>
      </c>
      <c r="L51">
        <v>16200</v>
      </c>
      <c r="M51" t="s">
        <v>29</v>
      </c>
      <c r="N51" t="s">
        <v>22</v>
      </c>
    </row>
    <row r="52" spans="1:14" x14ac:dyDescent="0.3">
      <c r="A52" t="s">
        <v>108</v>
      </c>
      <c r="B52" s="5">
        <v>46295</v>
      </c>
      <c r="C52" t="s">
        <v>31</v>
      </c>
      <c r="D52" t="s">
        <v>32</v>
      </c>
      <c r="E52" t="s">
        <v>33</v>
      </c>
      <c r="F52" t="s">
        <v>41</v>
      </c>
      <c r="G52" t="s">
        <v>42</v>
      </c>
      <c r="H52" t="s">
        <v>20</v>
      </c>
      <c r="I52">
        <v>5</v>
      </c>
      <c r="J52">
        <v>65000</v>
      </c>
      <c r="K52" s="6">
        <v>0.05</v>
      </c>
      <c r="L52">
        <v>308750</v>
      </c>
      <c r="M52" t="s">
        <v>50</v>
      </c>
      <c r="N52" t="s">
        <v>22</v>
      </c>
    </row>
    <row r="53" spans="1:14" x14ac:dyDescent="0.3">
      <c r="A53" t="s">
        <v>109</v>
      </c>
      <c r="B53" s="5">
        <v>46270</v>
      </c>
      <c r="C53" t="s">
        <v>39</v>
      </c>
      <c r="D53" t="s">
        <v>40</v>
      </c>
      <c r="E53" t="s">
        <v>28</v>
      </c>
      <c r="F53" t="s">
        <v>18</v>
      </c>
      <c r="G53" t="s">
        <v>19</v>
      </c>
      <c r="H53" t="s">
        <v>20</v>
      </c>
      <c r="I53">
        <v>1</v>
      </c>
      <c r="J53">
        <v>60000</v>
      </c>
      <c r="K53" s="6">
        <v>0.15</v>
      </c>
      <c r="L53">
        <v>51000</v>
      </c>
      <c r="M53" t="s">
        <v>43</v>
      </c>
      <c r="N53" t="s">
        <v>22</v>
      </c>
    </row>
    <row r="54" spans="1:14" x14ac:dyDescent="0.3">
      <c r="A54" t="s">
        <v>110</v>
      </c>
      <c r="B54" s="5">
        <v>46287</v>
      </c>
      <c r="C54" t="s">
        <v>31</v>
      </c>
      <c r="D54" t="s">
        <v>27</v>
      </c>
      <c r="E54" t="s">
        <v>33</v>
      </c>
      <c r="F54" t="s">
        <v>34</v>
      </c>
      <c r="G54" t="s">
        <v>35</v>
      </c>
      <c r="H54" t="s">
        <v>36</v>
      </c>
      <c r="I54">
        <v>3</v>
      </c>
      <c r="J54">
        <v>3000</v>
      </c>
      <c r="K54" s="6">
        <v>0</v>
      </c>
      <c r="L54">
        <v>9000</v>
      </c>
      <c r="M54" t="s">
        <v>43</v>
      </c>
      <c r="N54" t="s">
        <v>37</v>
      </c>
    </row>
    <row r="55" spans="1:14" x14ac:dyDescent="0.3">
      <c r="A55" t="s">
        <v>111</v>
      </c>
      <c r="B55" s="5">
        <v>46286</v>
      </c>
      <c r="C55" t="s">
        <v>58</v>
      </c>
      <c r="D55" t="s">
        <v>59</v>
      </c>
      <c r="E55" t="s">
        <v>60</v>
      </c>
      <c r="F55" t="s">
        <v>52</v>
      </c>
      <c r="G55" t="s">
        <v>53</v>
      </c>
      <c r="H55" t="s">
        <v>49</v>
      </c>
      <c r="I55">
        <v>1</v>
      </c>
      <c r="J55">
        <v>9000</v>
      </c>
      <c r="K55" s="6">
        <v>0</v>
      </c>
      <c r="L55">
        <v>9000</v>
      </c>
      <c r="M55" t="s">
        <v>24</v>
      </c>
      <c r="N55" t="s">
        <v>22</v>
      </c>
    </row>
    <row r="56" spans="1:14" x14ac:dyDescent="0.3">
      <c r="A56" t="s">
        <v>112</v>
      </c>
      <c r="B56" s="5">
        <v>46286</v>
      </c>
      <c r="C56" t="s">
        <v>26</v>
      </c>
      <c r="D56" t="s">
        <v>27</v>
      </c>
      <c r="E56" t="s">
        <v>28</v>
      </c>
      <c r="F56" t="s">
        <v>41</v>
      </c>
      <c r="G56" t="s">
        <v>42</v>
      </c>
      <c r="H56" t="s">
        <v>20</v>
      </c>
      <c r="I56">
        <v>3</v>
      </c>
      <c r="J56">
        <v>65000</v>
      </c>
      <c r="K56" s="6">
        <v>0</v>
      </c>
      <c r="L56">
        <v>195000</v>
      </c>
      <c r="M56" t="s">
        <v>43</v>
      </c>
      <c r="N56" t="s">
        <v>22</v>
      </c>
    </row>
    <row r="57" spans="1:14" x14ac:dyDescent="0.3">
      <c r="A57" t="s">
        <v>113</v>
      </c>
      <c r="B57" s="5">
        <v>46283</v>
      </c>
      <c r="C57" t="s">
        <v>15</v>
      </c>
      <c r="D57" t="s">
        <v>16</v>
      </c>
      <c r="E57" t="s">
        <v>17</v>
      </c>
      <c r="F57" t="s">
        <v>66</v>
      </c>
      <c r="G57" t="s">
        <v>67</v>
      </c>
      <c r="H57" t="s">
        <v>36</v>
      </c>
      <c r="I57">
        <v>5</v>
      </c>
      <c r="J57">
        <v>4500</v>
      </c>
      <c r="K57" s="6">
        <v>0.1</v>
      </c>
      <c r="L57">
        <v>20250</v>
      </c>
      <c r="M57" t="s">
        <v>50</v>
      </c>
      <c r="N57" t="s">
        <v>22</v>
      </c>
    </row>
    <row r="58" spans="1:14" x14ac:dyDescent="0.3">
      <c r="A58" t="s">
        <v>114</v>
      </c>
      <c r="B58" s="5">
        <v>46292</v>
      </c>
      <c r="C58" t="s">
        <v>26</v>
      </c>
      <c r="D58" t="s">
        <v>27</v>
      </c>
      <c r="E58" t="s">
        <v>28</v>
      </c>
      <c r="F58" t="s">
        <v>71</v>
      </c>
      <c r="G58" t="s">
        <v>72</v>
      </c>
      <c r="H58" t="s">
        <v>36</v>
      </c>
      <c r="I58">
        <v>5</v>
      </c>
      <c r="J58">
        <v>1200</v>
      </c>
      <c r="K58" s="6">
        <v>0</v>
      </c>
      <c r="L58">
        <v>6000</v>
      </c>
      <c r="M58" t="s">
        <v>43</v>
      </c>
      <c r="N58" t="s">
        <v>37</v>
      </c>
    </row>
    <row r="59" spans="1:14" x14ac:dyDescent="0.3">
      <c r="A59" t="s">
        <v>115</v>
      </c>
      <c r="B59" s="5">
        <v>46267</v>
      </c>
      <c r="C59" t="s">
        <v>31</v>
      </c>
      <c r="D59" t="s">
        <v>32</v>
      </c>
      <c r="E59" t="s">
        <v>33</v>
      </c>
      <c r="F59" t="s">
        <v>71</v>
      </c>
      <c r="G59" t="s">
        <v>72</v>
      </c>
      <c r="H59" t="s">
        <v>36</v>
      </c>
      <c r="I59">
        <v>4</v>
      </c>
      <c r="J59">
        <v>1200</v>
      </c>
      <c r="K59" s="6">
        <v>0</v>
      </c>
      <c r="L59">
        <v>4800</v>
      </c>
      <c r="M59" t="s">
        <v>43</v>
      </c>
      <c r="N59" t="s">
        <v>22</v>
      </c>
    </row>
    <row r="60" spans="1:14" x14ac:dyDescent="0.3">
      <c r="A60" t="s">
        <v>116</v>
      </c>
      <c r="B60" s="5">
        <v>46287</v>
      </c>
      <c r="C60" t="s">
        <v>26</v>
      </c>
      <c r="D60" t="s">
        <v>27</v>
      </c>
      <c r="E60" t="s">
        <v>28</v>
      </c>
      <c r="F60" t="s">
        <v>47</v>
      </c>
      <c r="G60" t="s">
        <v>48</v>
      </c>
      <c r="H60" t="s">
        <v>49</v>
      </c>
      <c r="I60">
        <v>2</v>
      </c>
      <c r="J60">
        <v>12500</v>
      </c>
      <c r="K60" s="6">
        <v>0</v>
      </c>
      <c r="L60">
        <v>25000</v>
      </c>
      <c r="M60" t="s">
        <v>50</v>
      </c>
      <c r="N60" t="s">
        <v>22</v>
      </c>
    </row>
    <row r="61" spans="1:14" x14ac:dyDescent="0.3">
      <c r="A61" t="s">
        <v>117</v>
      </c>
      <c r="B61" s="5">
        <v>46295</v>
      </c>
      <c r="C61" t="s">
        <v>31</v>
      </c>
      <c r="D61" t="s">
        <v>32</v>
      </c>
      <c r="E61" t="s">
        <v>33</v>
      </c>
      <c r="F61" t="s">
        <v>89</v>
      </c>
      <c r="G61" t="s">
        <v>90</v>
      </c>
      <c r="H61" t="s">
        <v>36</v>
      </c>
      <c r="I61">
        <v>5</v>
      </c>
      <c r="J61">
        <v>3500</v>
      </c>
      <c r="K61" s="6">
        <v>0</v>
      </c>
      <c r="L61">
        <v>17500</v>
      </c>
      <c r="M61" t="s">
        <v>21</v>
      </c>
      <c r="N61" t="s">
        <v>22</v>
      </c>
    </row>
    <row r="62" spans="1:14" x14ac:dyDescent="0.3">
      <c r="A62" t="s">
        <v>118</v>
      </c>
      <c r="B62" s="5">
        <v>46289</v>
      </c>
      <c r="C62" t="s">
        <v>45</v>
      </c>
      <c r="D62" t="s">
        <v>46</v>
      </c>
      <c r="E62" t="s">
        <v>17</v>
      </c>
      <c r="F62" t="s">
        <v>89</v>
      </c>
      <c r="G62" t="s">
        <v>90</v>
      </c>
      <c r="H62" t="s">
        <v>36</v>
      </c>
      <c r="I62">
        <v>1</v>
      </c>
      <c r="J62">
        <v>3500</v>
      </c>
      <c r="K62" s="6">
        <v>0</v>
      </c>
      <c r="L62">
        <v>3500</v>
      </c>
      <c r="M62" t="s">
        <v>43</v>
      </c>
      <c r="N62" t="s">
        <v>54</v>
      </c>
    </row>
    <row r="63" spans="1:14" x14ac:dyDescent="0.3">
      <c r="A63" t="s">
        <v>119</v>
      </c>
      <c r="B63" s="5">
        <v>46291</v>
      </c>
      <c r="C63" t="s">
        <v>15</v>
      </c>
      <c r="D63" t="s">
        <v>16</v>
      </c>
      <c r="E63" t="s">
        <v>17</v>
      </c>
      <c r="F63" t="s">
        <v>34</v>
      </c>
      <c r="G63" t="s">
        <v>35</v>
      </c>
      <c r="H63" t="s">
        <v>36</v>
      </c>
      <c r="I63">
        <v>3</v>
      </c>
      <c r="J63">
        <v>3000</v>
      </c>
      <c r="K63" s="6">
        <v>0</v>
      </c>
      <c r="L63">
        <v>9000</v>
      </c>
      <c r="M63" t="s">
        <v>50</v>
      </c>
      <c r="N63" t="s">
        <v>54</v>
      </c>
    </row>
    <row r="64" spans="1:14" x14ac:dyDescent="0.3">
      <c r="A64" t="s">
        <v>120</v>
      </c>
      <c r="B64" s="5">
        <v>46292</v>
      </c>
      <c r="C64" t="s">
        <v>26</v>
      </c>
      <c r="D64" t="s">
        <v>27</v>
      </c>
      <c r="E64" t="s">
        <v>28</v>
      </c>
      <c r="F64" t="s">
        <v>66</v>
      </c>
      <c r="G64" t="s">
        <v>67</v>
      </c>
      <c r="H64" t="s">
        <v>36</v>
      </c>
      <c r="I64">
        <v>2</v>
      </c>
      <c r="J64">
        <v>4500</v>
      </c>
      <c r="K64" s="6">
        <v>0</v>
      </c>
      <c r="L64">
        <v>9000</v>
      </c>
      <c r="M64" t="s">
        <v>24</v>
      </c>
      <c r="N64" t="s">
        <v>22</v>
      </c>
    </row>
    <row r="65" spans="1:14" x14ac:dyDescent="0.3">
      <c r="A65" t="s">
        <v>121</v>
      </c>
      <c r="B65" s="5">
        <v>46287</v>
      </c>
      <c r="C65" t="s">
        <v>39</v>
      </c>
      <c r="D65" t="s">
        <v>40</v>
      </c>
      <c r="E65" t="s">
        <v>28</v>
      </c>
      <c r="F65" t="s">
        <v>34</v>
      </c>
      <c r="G65" t="s">
        <v>35</v>
      </c>
      <c r="H65" t="s">
        <v>36</v>
      </c>
      <c r="I65">
        <v>2</v>
      </c>
      <c r="J65">
        <v>3000</v>
      </c>
      <c r="K65" s="6">
        <v>0</v>
      </c>
      <c r="L65">
        <v>6000</v>
      </c>
      <c r="M65" t="s">
        <v>21</v>
      </c>
      <c r="N65" t="s">
        <v>54</v>
      </c>
    </row>
    <row r="66" spans="1:14" x14ac:dyDescent="0.3">
      <c r="A66" t="s">
        <v>122</v>
      </c>
      <c r="B66" s="5">
        <v>46277</v>
      </c>
      <c r="C66" t="s">
        <v>39</v>
      </c>
      <c r="D66" t="s">
        <v>40</v>
      </c>
      <c r="E66" t="s">
        <v>28</v>
      </c>
      <c r="F66" t="s">
        <v>52</v>
      </c>
      <c r="G66" t="s">
        <v>53</v>
      </c>
      <c r="H66" t="s">
        <v>49</v>
      </c>
      <c r="I66">
        <v>1</v>
      </c>
      <c r="J66">
        <v>9000</v>
      </c>
      <c r="K66" s="6"/>
      <c r="L66">
        <v>8550</v>
      </c>
      <c r="M66" t="s">
        <v>29</v>
      </c>
      <c r="N66" t="s">
        <v>54</v>
      </c>
    </row>
    <row r="67" spans="1:14" x14ac:dyDescent="0.3">
      <c r="A67" t="s">
        <v>123</v>
      </c>
      <c r="B67" s="5">
        <v>46294</v>
      </c>
      <c r="C67" t="s">
        <v>15</v>
      </c>
      <c r="D67" t="s">
        <v>16</v>
      </c>
      <c r="E67" t="s">
        <v>17</v>
      </c>
      <c r="F67" t="s">
        <v>47</v>
      </c>
      <c r="G67" t="s">
        <v>48</v>
      </c>
      <c r="H67" t="s">
        <v>49</v>
      </c>
      <c r="I67">
        <v>1</v>
      </c>
      <c r="J67">
        <v>12500</v>
      </c>
      <c r="K67" s="6">
        <v>0</v>
      </c>
      <c r="L67">
        <v>12500</v>
      </c>
      <c r="M67" t="s">
        <v>43</v>
      </c>
      <c r="N67" t="s">
        <v>22</v>
      </c>
    </row>
    <row r="68" spans="1:14" x14ac:dyDescent="0.3">
      <c r="A68" t="s">
        <v>124</v>
      </c>
      <c r="B68" s="5">
        <v>46285</v>
      </c>
      <c r="C68" t="s">
        <v>31</v>
      </c>
      <c r="D68" t="s">
        <v>32</v>
      </c>
      <c r="E68" t="s">
        <v>33</v>
      </c>
      <c r="F68" t="s">
        <v>52</v>
      </c>
      <c r="G68" t="s">
        <v>53</v>
      </c>
      <c r="H68" t="s">
        <v>49</v>
      </c>
      <c r="I68">
        <v>1</v>
      </c>
      <c r="J68">
        <v>9000</v>
      </c>
      <c r="K68" s="6">
        <v>0</v>
      </c>
      <c r="L68">
        <v>9000</v>
      </c>
      <c r="M68" t="s">
        <v>24</v>
      </c>
      <c r="N68" t="s">
        <v>22</v>
      </c>
    </row>
    <row r="69" spans="1:14" x14ac:dyDescent="0.3">
      <c r="A69" t="s">
        <v>125</v>
      </c>
      <c r="B69" s="5">
        <v>46282</v>
      </c>
      <c r="C69" t="s">
        <v>15</v>
      </c>
      <c r="D69" t="s">
        <v>16</v>
      </c>
      <c r="E69" t="s">
        <v>17</v>
      </c>
      <c r="F69" t="s">
        <v>47</v>
      </c>
      <c r="G69" t="s">
        <v>48</v>
      </c>
      <c r="H69" t="s">
        <v>49</v>
      </c>
      <c r="I69">
        <v>4</v>
      </c>
      <c r="J69">
        <v>12500</v>
      </c>
      <c r="K69" s="6">
        <v>0.15</v>
      </c>
      <c r="L69">
        <v>42500</v>
      </c>
      <c r="M69" t="s">
        <v>50</v>
      </c>
      <c r="N69" t="s">
        <v>54</v>
      </c>
    </row>
    <row r="70" spans="1:14" x14ac:dyDescent="0.3">
      <c r="A70" t="s">
        <v>126</v>
      </c>
      <c r="B70" s="5">
        <v>46288</v>
      </c>
      <c r="C70" t="s">
        <v>31</v>
      </c>
      <c r="D70" t="s">
        <v>32</v>
      </c>
      <c r="E70" t="s">
        <v>33</v>
      </c>
      <c r="F70" t="s">
        <v>34</v>
      </c>
      <c r="G70" t="s">
        <v>35</v>
      </c>
      <c r="H70" t="s">
        <v>36</v>
      </c>
      <c r="I70">
        <v>3</v>
      </c>
      <c r="J70">
        <v>3000</v>
      </c>
      <c r="K70" s="6">
        <v>0</v>
      </c>
      <c r="L70">
        <v>9000</v>
      </c>
      <c r="M70" t="s">
        <v>24</v>
      </c>
      <c r="N70" t="s">
        <v>22</v>
      </c>
    </row>
    <row r="71" spans="1:14" x14ac:dyDescent="0.3">
      <c r="A71" t="s">
        <v>127</v>
      </c>
      <c r="B71" s="5">
        <v>46268</v>
      </c>
      <c r="C71" t="s">
        <v>31</v>
      </c>
      <c r="D71" t="s">
        <v>32</v>
      </c>
      <c r="E71" t="s">
        <v>33</v>
      </c>
      <c r="F71" t="s">
        <v>34</v>
      </c>
      <c r="G71" t="s">
        <v>35</v>
      </c>
      <c r="H71" t="s">
        <v>36</v>
      </c>
      <c r="I71">
        <v>3</v>
      </c>
      <c r="J71">
        <v>3000</v>
      </c>
      <c r="K71" s="6">
        <v>0.1</v>
      </c>
      <c r="L71">
        <v>8100</v>
      </c>
      <c r="M71" t="s">
        <v>43</v>
      </c>
      <c r="N71" t="s">
        <v>37</v>
      </c>
    </row>
    <row r="72" spans="1:14" x14ac:dyDescent="0.3">
      <c r="A72" t="s">
        <v>128</v>
      </c>
      <c r="B72" s="5">
        <v>46275</v>
      </c>
      <c r="C72" t="s">
        <v>39</v>
      </c>
      <c r="D72" t="s">
        <v>40</v>
      </c>
      <c r="E72" t="s">
        <v>28</v>
      </c>
      <c r="F72" t="s">
        <v>18</v>
      </c>
      <c r="G72" t="s">
        <v>19</v>
      </c>
      <c r="H72" t="s">
        <v>20</v>
      </c>
      <c r="I72">
        <v>3</v>
      </c>
      <c r="J72">
        <v>60000</v>
      </c>
      <c r="K72" s="6">
        <v>0.15</v>
      </c>
      <c r="L72">
        <v>153000</v>
      </c>
      <c r="M72" t="s">
        <v>24</v>
      </c>
      <c r="N72" t="s">
        <v>22</v>
      </c>
    </row>
    <row r="73" spans="1:14" x14ac:dyDescent="0.3">
      <c r="A73" t="s">
        <v>129</v>
      </c>
      <c r="B73" s="5">
        <v>46272</v>
      </c>
      <c r="C73" t="s">
        <v>58</v>
      </c>
      <c r="D73" t="s">
        <v>59</v>
      </c>
      <c r="E73" t="s">
        <v>60</v>
      </c>
      <c r="F73" t="s">
        <v>52</v>
      </c>
      <c r="G73" t="s">
        <v>53</v>
      </c>
      <c r="H73" t="s">
        <v>49</v>
      </c>
      <c r="I73">
        <v>5</v>
      </c>
      <c r="J73">
        <v>9000</v>
      </c>
      <c r="K73" s="6">
        <v>0</v>
      </c>
      <c r="L73">
        <v>45000</v>
      </c>
      <c r="M73" t="s">
        <v>24</v>
      </c>
      <c r="N73" t="s">
        <v>54</v>
      </c>
    </row>
    <row r="74" spans="1:14" x14ac:dyDescent="0.3">
      <c r="A74" t="s">
        <v>130</v>
      </c>
      <c r="B74" s="5">
        <v>46275</v>
      </c>
      <c r="C74" t="s">
        <v>15</v>
      </c>
      <c r="D74" t="s">
        <v>16</v>
      </c>
      <c r="E74" t="s">
        <v>17</v>
      </c>
      <c r="F74" t="s">
        <v>71</v>
      </c>
      <c r="G74" t="s">
        <v>72</v>
      </c>
      <c r="H74" t="s">
        <v>36</v>
      </c>
      <c r="I74">
        <v>5</v>
      </c>
      <c r="J74">
        <v>1200</v>
      </c>
      <c r="K74" s="6">
        <v>0.15</v>
      </c>
      <c r="L74">
        <v>5100</v>
      </c>
      <c r="M74" t="s">
        <v>24</v>
      </c>
      <c r="N74" t="s">
        <v>37</v>
      </c>
    </row>
    <row r="75" spans="1:14" x14ac:dyDescent="0.3">
      <c r="A75" t="s">
        <v>131</v>
      </c>
      <c r="B75" s="5">
        <v>46279</v>
      </c>
      <c r="C75" t="s">
        <v>26</v>
      </c>
      <c r="D75" t="s">
        <v>27</v>
      </c>
      <c r="E75" t="s">
        <v>28</v>
      </c>
      <c r="F75" t="s">
        <v>52</v>
      </c>
      <c r="G75" t="s">
        <v>53</v>
      </c>
      <c r="H75" t="s">
        <v>49</v>
      </c>
      <c r="I75">
        <v>3</v>
      </c>
      <c r="J75">
        <v>9000</v>
      </c>
      <c r="K75" s="6">
        <v>0</v>
      </c>
      <c r="L75">
        <v>27000</v>
      </c>
      <c r="M75" t="s">
        <v>29</v>
      </c>
      <c r="N75" t="s">
        <v>37</v>
      </c>
    </row>
    <row r="76" spans="1:14" x14ac:dyDescent="0.3">
      <c r="A76" t="s">
        <v>132</v>
      </c>
      <c r="B76" s="5">
        <v>46280</v>
      </c>
      <c r="C76" t="s">
        <v>15</v>
      </c>
      <c r="D76" t="s">
        <v>16</v>
      </c>
      <c r="E76" t="s">
        <v>17</v>
      </c>
      <c r="F76" t="s">
        <v>47</v>
      </c>
      <c r="G76" t="s">
        <v>217</v>
      </c>
      <c r="H76" t="s">
        <v>49</v>
      </c>
      <c r="I76">
        <v>4</v>
      </c>
      <c r="J76">
        <v>12500</v>
      </c>
      <c r="K76" s="6">
        <v>0.1</v>
      </c>
      <c r="L76">
        <v>45000</v>
      </c>
      <c r="M76" t="s">
        <v>21</v>
      </c>
      <c r="N76" t="s">
        <v>37</v>
      </c>
    </row>
    <row r="77" spans="1:14" x14ac:dyDescent="0.3">
      <c r="A77" t="s">
        <v>133</v>
      </c>
      <c r="B77" s="5">
        <v>46282</v>
      </c>
      <c r="C77" t="s">
        <v>58</v>
      </c>
      <c r="D77" t="s">
        <v>59</v>
      </c>
      <c r="E77" t="s">
        <v>60</v>
      </c>
      <c r="F77" t="s">
        <v>71</v>
      </c>
      <c r="G77" t="s">
        <v>72</v>
      </c>
      <c r="H77" t="s">
        <v>36</v>
      </c>
      <c r="I77">
        <v>1</v>
      </c>
      <c r="J77">
        <v>1200</v>
      </c>
      <c r="K77" s="6">
        <v>0.05</v>
      </c>
      <c r="L77">
        <v>1140</v>
      </c>
      <c r="M77" t="s">
        <v>29</v>
      </c>
      <c r="N77" t="s">
        <v>22</v>
      </c>
    </row>
    <row r="78" spans="1:14" x14ac:dyDescent="0.3">
      <c r="A78" t="s">
        <v>134</v>
      </c>
      <c r="B78" s="5">
        <v>46291</v>
      </c>
      <c r="C78" t="s">
        <v>26</v>
      </c>
      <c r="D78" t="s">
        <v>27</v>
      </c>
      <c r="E78" t="s">
        <v>28</v>
      </c>
      <c r="F78" t="s">
        <v>34</v>
      </c>
      <c r="G78" t="s">
        <v>35</v>
      </c>
      <c r="H78" t="s">
        <v>36</v>
      </c>
      <c r="I78">
        <v>3</v>
      </c>
      <c r="J78">
        <v>3000</v>
      </c>
      <c r="K78" s="6">
        <v>0</v>
      </c>
      <c r="L78">
        <v>9000</v>
      </c>
      <c r="M78" t="s">
        <v>21</v>
      </c>
      <c r="N78" t="s">
        <v>22</v>
      </c>
    </row>
    <row r="79" spans="1:14" x14ac:dyDescent="0.3">
      <c r="A79" t="s">
        <v>135</v>
      </c>
      <c r="B79" s="5">
        <v>46285</v>
      </c>
      <c r="C79" t="s">
        <v>26</v>
      </c>
      <c r="D79" t="s">
        <v>27</v>
      </c>
      <c r="E79" t="s">
        <v>28</v>
      </c>
      <c r="F79" t="s">
        <v>41</v>
      </c>
      <c r="G79" t="s">
        <v>42</v>
      </c>
      <c r="H79" t="s">
        <v>20</v>
      </c>
      <c r="I79">
        <v>2</v>
      </c>
      <c r="J79">
        <v>65000</v>
      </c>
      <c r="K79" s="6">
        <v>0.1</v>
      </c>
      <c r="L79">
        <v>117000</v>
      </c>
      <c r="M79" t="s">
        <v>50</v>
      </c>
      <c r="N79" t="s">
        <v>54</v>
      </c>
    </row>
    <row r="80" spans="1:14" x14ac:dyDescent="0.3">
      <c r="A80" t="s">
        <v>136</v>
      </c>
      <c r="B80" s="5">
        <v>46278</v>
      </c>
      <c r="C80" t="s">
        <v>58</v>
      </c>
      <c r="D80" t="s">
        <v>59</v>
      </c>
      <c r="E80" t="s">
        <v>60</v>
      </c>
      <c r="F80" t="s">
        <v>34</v>
      </c>
      <c r="G80" t="s">
        <v>35</v>
      </c>
      <c r="H80" t="s">
        <v>36</v>
      </c>
      <c r="I80">
        <v>4</v>
      </c>
      <c r="J80">
        <v>3000</v>
      </c>
      <c r="K80" s="6">
        <v>0.1</v>
      </c>
      <c r="L80">
        <v>10800</v>
      </c>
      <c r="M80" t="s">
        <v>21</v>
      </c>
      <c r="N80" t="s">
        <v>22</v>
      </c>
    </row>
    <row r="81" spans="1:14" x14ac:dyDescent="0.3">
      <c r="A81" t="s">
        <v>137</v>
      </c>
      <c r="B81" s="5">
        <v>46273</v>
      </c>
      <c r="C81" t="s">
        <v>15</v>
      </c>
      <c r="D81" t="s">
        <v>16</v>
      </c>
      <c r="E81" t="s">
        <v>17</v>
      </c>
      <c r="F81" t="s">
        <v>41</v>
      </c>
      <c r="G81" t="s">
        <v>42</v>
      </c>
      <c r="H81" t="s">
        <v>20</v>
      </c>
      <c r="I81">
        <v>1</v>
      </c>
      <c r="J81">
        <v>65000</v>
      </c>
      <c r="K81" s="6">
        <v>0.1</v>
      </c>
      <c r="L81">
        <v>58500</v>
      </c>
      <c r="M81" t="s">
        <v>21</v>
      </c>
      <c r="N81" t="s">
        <v>37</v>
      </c>
    </row>
    <row r="82" spans="1:14" x14ac:dyDescent="0.3">
      <c r="A82" t="s">
        <v>138</v>
      </c>
      <c r="B82" s="5">
        <v>46295</v>
      </c>
      <c r="C82" t="s">
        <v>58</v>
      </c>
      <c r="D82" t="s">
        <v>59</v>
      </c>
      <c r="E82" t="s">
        <v>60</v>
      </c>
      <c r="F82" t="s">
        <v>41</v>
      </c>
      <c r="G82" t="s">
        <v>42</v>
      </c>
      <c r="H82" t="s">
        <v>20</v>
      </c>
      <c r="I82">
        <v>5</v>
      </c>
      <c r="J82">
        <v>65000</v>
      </c>
      <c r="K82" s="6">
        <v>0</v>
      </c>
      <c r="L82">
        <v>325000</v>
      </c>
      <c r="M82" t="s">
        <v>50</v>
      </c>
      <c r="N82" t="s">
        <v>54</v>
      </c>
    </row>
    <row r="83" spans="1:14" x14ac:dyDescent="0.3">
      <c r="A83" t="s">
        <v>139</v>
      </c>
      <c r="B83" s="5">
        <v>46285</v>
      </c>
      <c r="C83" t="s">
        <v>45</v>
      </c>
      <c r="D83" t="s">
        <v>46</v>
      </c>
      <c r="E83" t="s">
        <v>17</v>
      </c>
      <c r="F83" t="s">
        <v>66</v>
      </c>
      <c r="G83" t="s">
        <v>67</v>
      </c>
      <c r="H83" t="s">
        <v>36</v>
      </c>
      <c r="I83">
        <v>5</v>
      </c>
      <c r="J83">
        <v>4500</v>
      </c>
      <c r="K83" s="6">
        <v>0.15</v>
      </c>
      <c r="L83">
        <v>19125</v>
      </c>
      <c r="M83" t="s">
        <v>43</v>
      </c>
      <c r="N83" t="s">
        <v>54</v>
      </c>
    </row>
    <row r="84" spans="1:14" x14ac:dyDescent="0.3">
      <c r="A84" t="s">
        <v>140</v>
      </c>
      <c r="B84" s="5">
        <v>46294</v>
      </c>
      <c r="C84" t="s">
        <v>31</v>
      </c>
      <c r="D84" t="s">
        <v>32</v>
      </c>
      <c r="E84" t="s">
        <v>33</v>
      </c>
      <c r="F84" t="s">
        <v>89</v>
      </c>
      <c r="G84" t="s">
        <v>90</v>
      </c>
      <c r="H84" t="s">
        <v>36</v>
      </c>
      <c r="I84">
        <v>5</v>
      </c>
      <c r="J84">
        <v>3500</v>
      </c>
      <c r="K84" s="6">
        <v>0.1</v>
      </c>
      <c r="L84">
        <v>15750</v>
      </c>
      <c r="M84" t="s">
        <v>21</v>
      </c>
      <c r="N84" t="s">
        <v>54</v>
      </c>
    </row>
    <row r="85" spans="1:14" x14ac:dyDescent="0.3">
      <c r="A85" t="s">
        <v>141</v>
      </c>
      <c r="B85" s="5">
        <v>46290</v>
      </c>
      <c r="C85" t="s">
        <v>58</v>
      </c>
      <c r="D85" t="s">
        <v>59</v>
      </c>
      <c r="E85" t="s">
        <v>60</v>
      </c>
      <c r="F85" t="s">
        <v>52</v>
      </c>
      <c r="G85" t="s">
        <v>53</v>
      </c>
      <c r="H85" t="s">
        <v>49</v>
      </c>
      <c r="I85">
        <v>2</v>
      </c>
      <c r="J85">
        <v>9000</v>
      </c>
      <c r="K85" s="6">
        <v>0.05</v>
      </c>
      <c r="L85">
        <v>17100</v>
      </c>
      <c r="M85" t="s">
        <v>29</v>
      </c>
      <c r="N85" t="s">
        <v>54</v>
      </c>
    </row>
    <row r="86" spans="1:14" x14ac:dyDescent="0.3">
      <c r="A86" t="s">
        <v>142</v>
      </c>
      <c r="B86" s="5">
        <v>46268</v>
      </c>
      <c r="C86" t="s">
        <v>15</v>
      </c>
      <c r="D86" t="s">
        <v>16</v>
      </c>
      <c r="E86" t="s">
        <v>17</v>
      </c>
      <c r="F86" t="s">
        <v>34</v>
      </c>
      <c r="G86" t="s">
        <v>35</v>
      </c>
      <c r="H86" t="s">
        <v>36</v>
      </c>
      <c r="I86">
        <v>3</v>
      </c>
      <c r="J86">
        <v>3000</v>
      </c>
      <c r="K86" s="6">
        <v>0.1</v>
      </c>
      <c r="L86">
        <v>8100</v>
      </c>
      <c r="M86" t="s">
        <v>43</v>
      </c>
      <c r="N86" t="s">
        <v>22</v>
      </c>
    </row>
    <row r="87" spans="1:14" x14ac:dyDescent="0.3">
      <c r="A87" t="s">
        <v>143</v>
      </c>
      <c r="B87" s="5">
        <v>46268</v>
      </c>
      <c r="C87" t="s">
        <v>39</v>
      </c>
      <c r="D87" t="s">
        <v>40</v>
      </c>
      <c r="E87" t="s">
        <v>28</v>
      </c>
      <c r="F87" t="s">
        <v>47</v>
      </c>
      <c r="G87" t="s">
        <v>48</v>
      </c>
      <c r="H87" t="s">
        <v>49</v>
      </c>
      <c r="I87">
        <v>3</v>
      </c>
      <c r="J87">
        <v>12500</v>
      </c>
      <c r="K87" s="6">
        <v>0.15</v>
      </c>
      <c r="L87">
        <v>31875</v>
      </c>
      <c r="M87" t="s">
        <v>21</v>
      </c>
      <c r="N87" t="s">
        <v>22</v>
      </c>
    </row>
    <row r="88" spans="1:14" x14ac:dyDescent="0.3">
      <c r="A88" t="s">
        <v>144</v>
      </c>
      <c r="B88" s="5">
        <v>46268</v>
      </c>
      <c r="C88" t="s">
        <v>45</v>
      </c>
      <c r="D88" t="s">
        <v>46</v>
      </c>
      <c r="E88" t="s">
        <v>17</v>
      </c>
      <c r="F88" t="s">
        <v>89</v>
      </c>
      <c r="G88" t="s">
        <v>90</v>
      </c>
      <c r="H88" t="s">
        <v>36</v>
      </c>
      <c r="I88">
        <v>2</v>
      </c>
      <c r="J88">
        <v>3500</v>
      </c>
      <c r="K88" s="6">
        <v>0</v>
      </c>
      <c r="L88">
        <v>7000</v>
      </c>
      <c r="M88" t="s">
        <v>24</v>
      </c>
      <c r="N88" t="s">
        <v>54</v>
      </c>
    </row>
    <row r="89" spans="1:14" x14ac:dyDescent="0.3">
      <c r="A89" t="s">
        <v>145</v>
      </c>
      <c r="B89" s="5">
        <v>46272</v>
      </c>
      <c r="C89" t="s">
        <v>39</v>
      </c>
      <c r="D89" t="s">
        <v>40</v>
      </c>
      <c r="E89" t="s">
        <v>28</v>
      </c>
      <c r="F89" t="s">
        <v>66</v>
      </c>
      <c r="G89" t="s">
        <v>67</v>
      </c>
      <c r="H89" t="s">
        <v>36</v>
      </c>
      <c r="I89">
        <v>4</v>
      </c>
      <c r="J89">
        <v>4500</v>
      </c>
      <c r="K89" s="6">
        <v>0</v>
      </c>
      <c r="L89">
        <v>18000</v>
      </c>
      <c r="M89" t="s">
        <v>24</v>
      </c>
      <c r="N89" t="s">
        <v>54</v>
      </c>
    </row>
    <row r="90" spans="1:14" x14ac:dyDescent="0.3">
      <c r="A90" t="s">
        <v>146</v>
      </c>
      <c r="B90" s="5">
        <v>46281</v>
      </c>
      <c r="C90" t="s">
        <v>31</v>
      </c>
      <c r="D90" t="s">
        <v>32</v>
      </c>
      <c r="E90" t="s">
        <v>33</v>
      </c>
      <c r="F90" t="s">
        <v>41</v>
      </c>
      <c r="G90" t="s">
        <v>42</v>
      </c>
      <c r="H90" t="s">
        <v>218</v>
      </c>
      <c r="I90">
        <v>5</v>
      </c>
      <c r="J90">
        <v>65000</v>
      </c>
      <c r="K90" s="6">
        <v>0.1</v>
      </c>
      <c r="L90">
        <v>292500</v>
      </c>
      <c r="M90" t="s">
        <v>50</v>
      </c>
      <c r="N90" t="s">
        <v>22</v>
      </c>
    </row>
    <row r="91" spans="1:14" x14ac:dyDescent="0.3">
      <c r="A91" t="s">
        <v>147</v>
      </c>
      <c r="B91" s="5">
        <v>46289</v>
      </c>
      <c r="C91" t="s">
        <v>39</v>
      </c>
      <c r="D91" t="s">
        <v>40</v>
      </c>
      <c r="E91" t="s">
        <v>28</v>
      </c>
      <c r="F91" t="s">
        <v>89</v>
      </c>
      <c r="G91" t="s">
        <v>90</v>
      </c>
      <c r="H91" t="s">
        <v>36</v>
      </c>
      <c r="I91">
        <v>4</v>
      </c>
      <c r="J91">
        <v>3500</v>
      </c>
      <c r="K91" s="6">
        <v>0.15</v>
      </c>
      <c r="L91">
        <v>11900</v>
      </c>
      <c r="M91" t="s">
        <v>29</v>
      </c>
      <c r="N91" t="s">
        <v>37</v>
      </c>
    </row>
    <row r="92" spans="1:14" x14ac:dyDescent="0.3">
      <c r="A92" t="s">
        <v>148</v>
      </c>
      <c r="B92" s="5">
        <v>46279</v>
      </c>
      <c r="C92" t="s">
        <v>45</v>
      </c>
      <c r="D92" t="s">
        <v>46</v>
      </c>
      <c r="E92" t="s">
        <v>17</v>
      </c>
      <c r="F92" t="s">
        <v>66</v>
      </c>
      <c r="G92" t="s">
        <v>67</v>
      </c>
      <c r="H92" t="s">
        <v>36</v>
      </c>
      <c r="I92">
        <v>2</v>
      </c>
      <c r="J92">
        <v>4500</v>
      </c>
      <c r="K92" s="6">
        <v>0.05</v>
      </c>
      <c r="L92">
        <v>8550</v>
      </c>
      <c r="M92" t="s">
        <v>24</v>
      </c>
      <c r="N92" t="s">
        <v>22</v>
      </c>
    </row>
    <row r="93" spans="1:14" x14ac:dyDescent="0.3">
      <c r="A93" t="s">
        <v>149</v>
      </c>
      <c r="B93" s="5">
        <v>46292</v>
      </c>
      <c r="C93" t="s">
        <v>58</v>
      </c>
      <c r="D93" t="s">
        <v>59</v>
      </c>
      <c r="F93" t="s">
        <v>47</v>
      </c>
      <c r="G93" t="s">
        <v>48</v>
      </c>
      <c r="H93" t="s">
        <v>49</v>
      </c>
      <c r="I93">
        <v>4</v>
      </c>
      <c r="J93">
        <v>12500</v>
      </c>
      <c r="K93" s="6">
        <v>0</v>
      </c>
      <c r="L93">
        <v>50000</v>
      </c>
      <c r="M93" t="s">
        <v>24</v>
      </c>
      <c r="N93" t="s">
        <v>22</v>
      </c>
    </row>
    <row r="94" spans="1:14" x14ac:dyDescent="0.3">
      <c r="A94" t="s">
        <v>150</v>
      </c>
      <c r="B94" s="5">
        <v>46284</v>
      </c>
      <c r="C94" t="s">
        <v>31</v>
      </c>
      <c r="D94" t="s">
        <v>32</v>
      </c>
      <c r="E94" t="s">
        <v>33</v>
      </c>
      <c r="F94" t="s">
        <v>41</v>
      </c>
      <c r="G94" t="s">
        <v>42</v>
      </c>
      <c r="H94" t="s">
        <v>20</v>
      </c>
      <c r="I94">
        <v>4</v>
      </c>
      <c r="J94">
        <v>65000</v>
      </c>
      <c r="K94" s="6">
        <v>0.15</v>
      </c>
      <c r="L94">
        <v>221000</v>
      </c>
      <c r="M94" t="s">
        <v>50</v>
      </c>
      <c r="N94" t="s">
        <v>22</v>
      </c>
    </row>
    <row r="95" spans="1:14" x14ac:dyDescent="0.3">
      <c r="A95" t="s">
        <v>151</v>
      </c>
      <c r="B95" s="5">
        <v>46271</v>
      </c>
      <c r="C95" t="s">
        <v>15</v>
      </c>
      <c r="D95" t="s">
        <v>16</v>
      </c>
      <c r="E95" t="s">
        <v>17</v>
      </c>
      <c r="F95" t="s">
        <v>89</v>
      </c>
      <c r="G95" t="s">
        <v>90</v>
      </c>
      <c r="H95" t="s">
        <v>36</v>
      </c>
      <c r="I95">
        <v>2</v>
      </c>
      <c r="J95">
        <v>3500</v>
      </c>
      <c r="K95" s="6">
        <v>0.1</v>
      </c>
      <c r="L95">
        <v>6300</v>
      </c>
      <c r="M95" t="s">
        <v>50</v>
      </c>
      <c r="N95" t="s">
        <v>22</v>
      </c>
    </row>
    <row r="96" spans="1:14" x14ac:dyDescent="0.3">
      <c r="A96" t="s">
        <v>152</v>
      </c>
      <c r="B96" s="5">
        <v>46276</v>
      </c>
      <c r="C96" t="s">
        <v>58</v>
      </c>
      <c r="D96" t="s">
        <v>59</v>
      </c>
      <c r="E96" t="s">
        <v>60</v>
      </c>
      <c r="F96" t="s">
        <v>47</v>
      </c>
      <c r="G96" t="s">
        <v>48</v>
      </c>
      <c r="H96" t="s">
        <v>49</v>
      </c>
      <c r="I96">
        <v>2</v>
      </c>
      <c r="J96">
        <v>12500</v>
      </c>
      <c r="K96" s="6">
        <v>0.1</v>
      </c>
      <c r="L96">
        <v>22500</v>
      </c>
      <c r="M96" t="s">
        <v>43</v>
      </c>
      <c r="N96" t="s">
        <v>54</v>
      </c>
    </row>
    <row r="97" spans="1:14" x14ac:dyDescent="0.3">
      <c r="A97" t="s">
        <v>153</v>
      </c>
      <c r="B97" s="5">
        <v>46281</v>
      </c>
      <c r="C97" t="s">
        <v>39</v>
      </c>
      <c r="D97" t="s">
        <v>40</v>
      </c>
      <c r="E97" t="s">
        <v>28</v>
      </c>
      <c r="F97" t="s">
        <v>89</v>
      </c>
      <c r="G97" t="s">
        <v>90</v>
      </c>
      <c r="H97" t="s">
        <v>36</v>
      </c>
      <c r="I97">
        <v>3</v>
      </c>
      <c r="J97">
        <v>3500</v>
      </c>
      <c r="K97" s="6">
        <v>0</v>
      </c>
      <c r="L97">
        <v>10500</v>
      </c>
      <c r="M97" t="s">
        <v>50</v>
      </c>
      <c r="N97" t="s">
        <v>37</v>
      </c>
    </row>
    <row r="98" spans="1:14" x14ac:dyDescent="0.3">
      <c r="A98" t="s">
        <v>154</v>
      </c>
      <c r="B98" s="5">
        <v>46290</v>
      </c>
      <c r="C98" t="s">
        <v>26</v>
      </c>
      <c r="D98" t="s">
        <v>27</v>
      </c>
      <c r="E98" t="s">
        <v>28</v>
      </c>
      <c r="F98" t="s">
        <v>47</v>
      </c>
      <c r="G98" t="s">
        <v>48</v>
      </c>
      <c r="H98" t="s">
        <v>49</v>
      </c>
      <c r="I98">
        <v>2</v>
      </c>
      <c r="J98">
        <v>12500</v>
      </c>
      <c r="K98" s="6">
        <v>0</v>
      </c>
      <c r="L98">
        <v>25000</v>
      </c>
      <c r="M98" t="s">
        <v>50</v>
      </c>
      <c r="N98" t="s">
        <v>22</v>
      </c>
    </row>
    <row r="99" spans="1:14" x14ac:dyDescent="0.3">
      <c r="A99" t="s">
        <v>155</v>
      </c>
      <c r="B99" s="5">
        <v>46270</v>
      </c>
      <c r="C99" t="s">
        <v>45</v>
      </c>
      <c r="D99" t="s">
        <v>46</v>
      </c>
      <c r="E99" t="s">
        <v>17</v>
      </c>
      <c r="F99" t="s">
        <v>34</v>
      </c>
      <c r="G99" t="s">
        <v>35</v>
      </c>
      <c r="H99" t="s">
        <v>36</v>
      </c>
      <c r="I99">
        <v>1</v>
      </c>
      <c r="J99">
        <v>3000</v>
      </c>
      <c r="K99" s="6">
        <v>0.15</v>
      </c>
      <c r="L99">
        <v>2550</v>
      </c>
      <c r="M99" t="s">
        <v>21</v>
      </c>
      <c r="N99" t="s">
        <v>22</v>
      </c>
    </row>
    <row r="100" spans="1:14" x14ac:dyDescent="0.3">
      <c r="A100" t="s">
        <v>156</v>
      </c>
      <c r="B100" s="5">
        <v>46280</v>
      </c>
      <c r="C100" t="s">
        <v>58</v>
      </c>
      <c r="D100" t="s">
        <v>59</v>
      </c>
      <c r="E100" t="s">
        <v>60</v>
      </c>
      <c r="F100" t="s">
        <v>18</v>
      </c>
      <c r="G100" t="s">
        <v>19</v>
      </c>
      <c r="H100" t="s">
        <v>20</v>
      </c>
      <c r="I100">
        <v>5</v>
      </c>
      <c r="J100">
        <v>60000</v>
      </c>
      <c r="K100" s="6">
        <v>0</v>
      </c>
      <c r="L100">
        <v>300000</v>
      </c>
      <c r="M100" t="s">
        <v>43</v>
      </c>
      <c r="N100" t="s">
        <v>22</v>
      </c>
    </row>
    <row r="101" spans="1:14" x14ac:dyDescent="0.3">
      <c r="A101" t="s">
        <v>157</v>
      </c>
      <c r="B101" s="5">
        <v>46269</v>
      </c>
      <c r="C101" t="s">
        <v>45</v>
      </c>
      <c r="D101" t="s">
        <v>46</v>
      </c>
      <c r="E101" t="s">
        <v>17</v>
      </c>
      <c r="F101" t="s">
        <v>18</v>
      </c>
      <c r="G101" t="s">
        <v>19</v>
      </c>
      <c r="H101" t="s">
        <v>20</v>
      </c>
      <c r="I101">
        <v>2</v>
      </c>
      <c r="J101">
        <v>60000</v>
      </c>
      <c r="K101" s="6">
        <v>0.05</v>
      </c>
      <c r="L101">
        <v>114000</v>
      </c>
      <c r="M101" t="s">
        <v>29</v>
      </c>
      <c r="N101" t="s">
        <v>22</v>
      </c>
    </row>
    <row r="102" spans="1:14" x14ac:dyDescent="0.3">
      <c r="A102" t="s">
        <v>158</v>
      </c>
      <c r="B102" s="5">
        <v>46268</v>
      </c>
      <c r="C102" t="s">
        <v>39</v>
      </c>
      <c r="D102" t="s">
        <v>40</v>
      </c>
      <c r="E102" t="s">
        <v>28</v>
      </c>
      <c r="F102" t="s">
        <v>89</v>
      </c>
      <c r="G102" t="s">
        <v>90</v>
      </c>
      <c r="H102" t="s">
        <v>36</v>
      </c>
      <c r="I102">
        <v>4</v>
      </c>
      <c r="J102">
        <v>3500</v>
      </c>
      <c r="K102" s="6">
        <v>0</v>
      </c>
      <c r="L102">
        <v>14000</v>
      </c>
      <c r="M102" t="s">
        <v>29</v>
      </c>
      <c r="N102" t="s">
        <v>22</v>
      </c>
    </row>
    <row r="103" spans="1:14" x14ac:dyDescent="0.3">
      <c r="A103" t="s">
        <v>159</v>
      </c>
      <c r="B103" s="5">
        <v>46291</v>
      </c>
      <c r="C103" t="s">
        <v>26</v>
      </c>
      <c r="D103" t="s">
        <v>27</v>
      </c>
      <c r="E103" t="s">
        <v>28</v>
      </c>
      <c r="F103" t="s">
        <v>52</v>
      </c>
      <c r="G103" t="s">
        <v>53</v>
      </c>
      <c r="H103" t="s">
        <v>49</v>
      </c>
      <c r="I103">
        <v>5</v>
      </c>
      <c r="J103">
        <v>9000</v>
      </c>
      <c r="K103" s="6">
        <v>0</v>
      </c>
      <c r="L103">
        <v>45000</v>
      </c>
      <c r="M103" t="s">
        <v>29</v>
      </c>
      <c r="N103" t="s">
        <v>22</v>
      </c>
    </row>
    <row r="104" spans="1:14" x14ac:dyDescent="0.3">
      <c r="A104" t="s">
        <v>160</v>
      </c>
      <c r="B104" s="5">
        <v>46282</v>
      </c>
      <c r="C104" t="s">
        <v>39</v>
      </c>
      <c r="D104" t="s">
        <v>40</v>
      </c>
      <c r="E104" t="s">
        <v>28</v>
      </c>
      <c r="F104" t="s">
        <v>89</v>
      </c>
      <c r="G104" t="s">
        <v>90</v>
      </c>
      <c r="H104" t="s">
        <v>36</v>
      </c>
      <c r="I104">
        <v>3</v>
      </c>
      <c r="J104">
        <v>3500</v>
      </c>
      <c r="K104" s="6">
        <v>0</v>
      </c>
      <c r="L104">
        <v>10500</v>
      </c>
      <c r="M104" t="s">
        <v>43</v>
      </c>
      <c r="N104" t="s">
        <v>22</v>
      </c>
    </row>
    <row r="105" spans="1:14" x14ac:dyDescent="0.3">
      <c r="A105" t="s">
        <v>161</v>
      </c>
      <c r="B105" s="5">
        <v>46277</v>
      </c>
      <c r="C105" t="s">
        <v>58</v>
      </c>
      <c r="D105" t="s">
        <v>59</v>
      </c>
      <c r="E105" t="s">
        <v>60</v>
      </c>
      <c r="F105" t="s">
        <v>66</v>
      </c>
      <c r="G105" t="s">
        <v>67</v>
      </c>
      <c r="H105" t="s">
        <v>36</v>
      </c>
      <c r="I105">
        <v>1</v>
      </c>
      <c r="J105">
        <v>4500</v>
      </c>
      <c r="K105" s="6">
        <v>0.1</v>
      </c>
      <c r="L105">
        <v>4050</v>
      </c>
      <c r="M105" t="s">
        <v>162</v>
      </c>
      <c r="N105" t="s">
        <v>22</v>
      </c>
    </row>
    <row r="106" spans="1:14" x14ac:dyDescent="0.3">
      <c r="A106" t="s">
        <v>163</v>
      </c>
      <c r="B106" s="5">
        <v>46285</v>
      </c>
      <c r="C106" t="s">
        <v>58</v>
      </c>
      <c r="D106" t="s">
        <v>59</v>
      </c>
      <c r="E106" t="s">
        <v>60</v>
      </c>
      <c r="F106" t="s">
        <v>71</v>
      </c>
      <c r="G106" t="s">
        <v>72</v>
      </c>
      <c r="H106" t="s">
        <v>36</v>
      </c>
      <c r="I106">
        <v>5</v>
      </c>
      <c r="J106">
        <v>1200</v>
      </c>
      <c r="K106" s="6">
        <v>0.05</v>
      </c>
      <c r="L106">
        <v>5700</v>
      </c>
      <c r="M106" t="s">
        <v>29</v>
      </c>
      <c r="N106" t="s">
        <v>54</v>
      </c>
    </row>
    <row r="107" spans="1:14" x14ac:dyDescent="0.3">
      <c r="A107" t="s">
        <v>164</v>
      </c>
      <c r="B107" s="5">
        <v>46276</v>
      </c>
      <c r="C107" t="s">
        <v>58</v>
      </c>
      <c r="D107" t="s">
        <v>59</v>
      </c>
      <c r="E107" t="s">
        <v>60</v>
      </c>
      <c r="F107" t="s">
        <v>89</v>
      </c>
      <c r="G107" t="s">
        <v>90</v>
      </c>
      <c r="H107" t="s">
        <v>36</v>
      </c>
      <c r="I107">
        <v>5</v>
      </c>
      <c r="J107">
        <v>3500</v>
      </c>
      <c r="K107" s="6">
        <v>0.05</v>
      </c>
      <c r="L107">
        <v>16625</v>
      </c>
      <c r="M107" t="s">
        <v>21</v>
      </c>
      <c r="N107" t="s">
        <v>22</v>
      </c>
    </row>
    <row r="108" spans="1:14" x14ac:dyDescent="0.3">
      <c r="A108" t="s">
        <v>165</v>
      </c>
      <c r="B108" s="5">
        <v>46284</v>
      </c>
      <c r="C108" t="s">
        <v>39</v>
      </c>
      <c r="D108" t="s">
        <v>40</v>
      </c>
      <c r="E108" t="s">
        <v>28</v>
      </c>
      <c r="F108" t="s">
        <v>66</v>
      </c>
      <c r="G108" t="s">
        <v>67</v>
      </c>
      <c r="H108" t="s">
        <v>36</v>
      </c>
      <c r="I108">
        <v>2</v>
      </c>
      <c r="J108">
        <v>4500</v>
      </c>
      <c r="K108" s="6">
        <v>0.1</v>
      </c>
      <c r="L108">
        <v>8100</v>
      </c>
      <c r="M108" t="s">
        <v>29</v>
      </c>
      <c r="N108" t="s">
        <v>54</v>
      </c>
    </row>
    <row r="109" spans="1:14" x14ac:dyDescent="0.3">
      <c r="A109" t="s">
        <v>166</v>
      </c>
      <c r="B109" s="5">
        <v>46271</v>
      </c>
      <c r="C109" t="s">
        <v>39</v>
      </c>
      <c r="D109" t="s">
        <v>40</v>
      </c>
      <c r="E109" t="s">
        <v>28</v>
      </c>
      <c r="F109" t="s">
        <v>41</v>
      </c>
      <c r="G109" t="s">
        <v>42</v>
      </c>
      <c r="H109" t="s">
        <v>20</v>
      </c>
      <c r="I109">
        <v>4</v>
      </c>
      <c r="J109">
        <v>65000</v>
      </c>
      <c r="K109" s="6">
        <v>0.05</v>
      </c>
      <c r="L109">
        <v>247000</v>
      </c>
      <c r="M109" t="s">
        <v>24</v>
      </c>
      <c r="N109" t="s">
        <v>22</v>
      </c>
    </row>
    <row r="110" spans="1:14" x14ac:dyDescent="0.3">
      <c r="A110" t="s">
        <v>167</v>
      </c>
      <c r="B110" s="5">
        <v>46294</v>
      </c>
      <c r="C110" t="s">
        <v>39</v>
      </c>
      <c r="D110" t="s">
        <v>40</v>
      </c>
      <c r="E110" t="s">
        <v>28</v>
      </c>
      <c r="F110" t="s">
        <v>52</v>
      </c>
      <c r="G110" t="s">
        <v>53</v>
      </c>
      <c r="H110" t="s">
        <v>49</v>
      </c>
      <c r="I110">
        <v>3</v>
      </c>
      <c r="J110">
        <v>9000</v>
      </c>
      <c r="K110" s="6">
        <v>0.05</v>
      </c>
      <c r="L110">
        <v>25650</v>
      </c>
      <c r="M110" t="s">
        <v>29</v>
      </c>
      <c r="N110" t="s">
        <v>22</v>
      </c>
    </row>
    <row r="111" spans="1:14" x14ac:dyDescent="0.3">
      <c r="A111" t="s">
        <v>168</v>
      </c>
      <c r="B111" s="5">
        <v>46268</v>
      </c>
      <c r="C111" t="s">
        <v>31</v>
      </c>
      <c r="D111" t="s">
        <v>32</v>
      </c>
      <c r="E111" t="s">
        <v>33</v>
      </c>
      <c r="F111" t="s">
        <v>41</v>
      </c>
      <c r="G111" t="s">
        <v>42</v>
      </c>
      <c r="H111" t="s">
        <v>20</v>
      </c>
      <c r="I111">
        <v>5</v>
      </c>
      <c r="J111">
        <v>65000</v>
      </c>
      <c r="K111" s="6">
        <v>0</v>
      </c>
      <c r="L111">
        <v>65000</v>
      </c>
      <c r="M111" t="s">
        <v>21</v>
      </c>
      <c r="N111" t="s">
        <v>54</v>
      </c>
    </row>
    <row r="112" spans="1:14" x14ac:dyDescent="0.3">
      <c r="A112" t="s">
        <v>169</v>
      </c>
      <c r="B112" s="5">
        <v>46280</v>
      </c>
      <c r="C112" t="s">
        <v>58</v>
      </c>
      <c r="D112" t="s">
        <v>59</v>
      </c>
      <c r="E112" t="s">
        <v>60</v>
      </c>
      <c r="F112" t="s">
        <v>34</v>
      </c>
      <c r="G112" t="s">
        <v>35</v>
      </c>
      <c r="H112" t="s">
        <v>36</v>
      </c>
      <c r="I112">
        <v>4</v>
      </c>
      <c r="J112">
        <v>3000</v>
      </c>
      <c r="K112" s="6">
        <v>0.1</v>
      </c>
      <c r="L112">
        <v>10800</v>
      </c>
      <c r="M112" t="s">
        <v>50</v>
      </c>
      <c r="N112" t="s">
        <v>22</v>
      </c>
    </row>
    <row r="113" spans="1:14" x14ac:dyDescent="0.3">
      <c r="A113" t="s">
        <v>170</v>
      </c>
      <c r="B113" s="5">
        <v>46275</v>
      </c>
      <c r="C113" t="s">
        <v>39</v>
      </c>
      <c r="D113" t="s">
        <v>40</v>
      </c>
      <c r="E113" t="s">
        <v>28</v>
      </c>
      <c r="F113" t="s">
        <v>34</v>
      </c>
      <c r="G113" t="s">
        <v>35</v>
      </c>
      <c r="H113" t="s">
        <v>36</v>
      </c>
      <c r="I113">
        <v>4</v>
      </c>
      <c r="J113">
        <v>3000</v>
      </c>
      <c r="K113" s="6">
        <v>0</v>
      </c>
      <c r="L113">
        <v>12000</v>
      </c>
      <c r="M113" t="s">
        <v>29</v>
      </c>
      <c r="N113" t="s">
        <v>22</v>
      </c>
    </row>
    <row r="114" spans="1:14" x14ac:dyDescent="0.3">
      <c r="A114" t="s">
        <v>171</v>
      </c>
      <c r="B114" s="5">
        <v>46276</v>
      </c>
      <c r="C114" t="s">
        <v>58</v>
      </c>
      <c r="D114" t="s">
        <v>59</v>
      </c>
      <c r="E114" t="s">
        <v>60</v>
      </c>
      <c r="F114" t="s">
        <v>47</v>
      </c>
      <c r="G114" t="s">
        <v>48</v>
      </c>
      <c r="H114" t="s">
        <v>49</v>
      </c>
      <c r="I114">
        <v>4</v>
      </c>
      <c r="J114">
        <v>12500</v>
      </c>
      <c r="K114" s="6">
        <v>0.15</v>
      </c>
      <c r="L114">
        <v>42500</v>
      </c>
      <c r="M114" t="s">
        <v>43</v>
      </c>
      <c r="N114" t="s">
        <v>54</v>
      </c>
    </row>
    <row r="115" spans="1:14" x14ac:dyDescent="0.3">
      <c r="A115" t="s">
        <v>172</v>
      </c>
      <c r="B115" s="5">
        <v>46269</v>
      </c>
      <c r="C115" t="s">
        <v>39</v>
      </c>
      <c r="D115" t="s">
        <v>40</v>
      </c>
      <c r="E115" t="s">
        <v>28</v>
      </c>
      <c r="F115" t="s">
        <v>52</v>
      </c>
      <c r="G115" t="s">
        <v>53</v>
      </c>
      <c r="H115" t="s">
        <v>49</v>
      </c>
      <c r="I115">
        <v>3</v>
      </c>
      <c r="J115">
        <v>9000</v>
      </c>
      <c r="K115" s="6">
        <v>0</v>
      </c>
      <c r="L115">
        <v>27000</v>
      </c>
      <c r="M115" t="s">
        <v>21</v>
      </c>
      <c r="N115" t="s">
        <v>22</v>
      </c>
    </row>
    <row r="116" spans="1:14" x14ac:dyDescent="0.3">
      <c r="A116" t="s">
        <v>173</v>
      </c>
      <c r="B116" s="5">
        <v>46289</v>
      </c>
      <c r="C116" t="s">
        <v>26</v>
      </c>
      <c r="D116" t="s">
        <v>27</v>
      </c>
      <c r="E116" t="s">
        <v>28</v>
      </c>
      <c r="F116" t="s">
        <v>71</v>
      </c>
      <c r="G116" t="s">
        <v>72</v>
      </c>
      <c r="H116" t="s">
        <v>36</v>
      </c>
      <c r="I116">
        <v>2</v>
      </c>
      <c r="J116">
        <v>1200</v>
      </c>
      <c r="K116" s="6">
        <v>0</v>
      </c>
      <c r="L116">
        <v>2400</v>
      </c>
      <c r="M116" t="s">
        <v>24</v>
      </c>
      <c r="N116" t="s">
        <v>22</v>
      </c>
    </row>
    <row r="117" spans="1:14" x14ac:dyDescent="0.3">
      <c r="A117" t="s">
        <v>174</v>
      </c>
      <c r="B117" s="5">
        <v>46275</v>
      </c>
      <c r="C117" t="s">
        <v>15</v>
      </c>
      <c r="D117" t="s">
        <v>16</v>
      </c>
      <c r="E117" t="s">
        <v>17</v>
      </c>
      <c r="F117" t="s">
        <v>52</v>
      </c>
      <c r="G117" t="s">
        <v>53</v>
      </c>
      <c r="H117" t="s">
        <v>49</v>
      </c>
      <c r="I117">
        <v>1</v>
      </c>
      <c r="J117">
        <v>9000</v>
      </c>
      <c r="K117" s="6">
        <v>0</v>
      </c>
      <c r="L117">
        <v>9000</v>
      </c>
      <c r="M117" t="s">
        <v>21</v>
      </c>
      <c r="N117" t="s">
        <v>22</v>
      </c>
    </row>
    <row r="118" spans="1:14" x14ac:dyDescent="0.3">
      <c r="A118" t="s">
        <v>175</v>
      </c>
      <c r="B118" s="5">
        <v>46270</v>
      </c>
      <c r="C118" t="s">
        <v>45</v>
      </c>
      <c r="D118" t="s">
        <v>46</v>
      </c>
      <c r="E118" t="s">
        <v>17</v>
      </c>
      <c r="F118" t="s">
        <v>52</v>
      </c>
      <c r="G118" t="s">
        <v>53</v>
      </c>
      <c r="H118" t="s">
        <v>49</v>
      </c>
      <c r="I118">
        <v>1</v>
      </c>
      <c r="J118">
        <v>9000</v>
      </c>
      <c r="K118" s="6">
        <v>0.15</v>
      </c>
      <c r="L118">
        <v>7650</v>
      </c>
      <c r="M118" t="s">
        <v>43</v>
      </c>
      <c r="N118" t="s">
        <v>22</v>
      </c>
    </row>
    <row r="119" spans="1:14" x14ac:dyDescent="0.3">
      <c r="A119" t="s">
        <v>176</v>
      </c>
      <c r="B119" s="5">
        <v>46269</v>
      </c>
      <c r="C119" t="s">
        <v>26</v>
      </c>
      <c r="D119" t="s">
        <v>27</v>
      </c>
      <c r="E119" t="s">
        <v>28</v>
      </c>
      <c r="F119" t="s">
        <v>52</v>
      </c>
      <c r="G119" t="s">
        <v>53</v>
      </c>
      <c r="H119" t="s">
        <v>49</v>
      </c>
      <c r="I119">
        <v>2</v>
      </c>
      <c r="J119">
        <v>9000</v>
      </c>
      <c r="K119" s="6">
        <v>0.1</v>
      </c>
      <c r="L119">
        <v>16200</v>
      </c>
      <c r="M119" t="s">
        <v>50</v>
      </c>
      <c r="N119" t="s">
        <v>37</v>
      </c>
    </row>
    <row r="120" spans="1:14" x14ac:dyDescent="0.3">
      <c r="A120" t="s">
        <v>177</v>
      </c>
      <c r="B120" s="5">
        <v>46276</v>
      </c>
      <c r="C120" t="s">
        <v>178</v>
      </c>
      <c r="D120" t="s">
        <v>40</v>
      </c>
      <c r="E120" t="s">
        <v>28</v>
      </c>
      <c r="F120" t="s">
        <v>66</v>
      </c>
      <c r="G120" t="s">
        <v>67</v>
      </c>
      <c r="H120" t="s">
        <v>36</v>
      </c>
      <c r="I120">
        <v>4</v>
      </c>
      <c r="J120">
        <v>4500</v>
      </c>
      <c r="K120" s="6">
        <v>0.1</v>
      </c>
      <c r="L120">
        <v>16200</v>
      </c>
      <c r="M120" t="s">
        <v>21</v>
      </c>
      <c r="N120" t="s">
        <v>22</v>
      </c>
    </row>
    <row r="121" spans="1:14" x14ac:dyDescent="0.3">
      <c r="A121" t="s">
        <v>179</v>
      </c>
      <c r="B121" s="5">
        <v>46278</v>
      </c>
      <c r="C121" t="s">
        <v>39</v>
      </c>
      <c r="D121" t="s">
        <v>40</v>
      </c>
      <c r="E121" t="s">
        <v>28</v>
      </c>
      <c r="F121" t="s">
        <v>66</v>
      </c>
      <c r="G121" t="s">
        <v>67</v>
      </c>
      <c r="H121" t="s">
        <v>36</v>
      </c>
      <c r="I121">
        <v>1</v>
      </c>
      <c r="J121">
        <v>4500</v>
      </c>
      <c r="K121" s="6">
        <v>0</v>
      </c>
      <c r="L121">
        <v>4500</v>
      </c>
      <c r="M121" t="s">
        <v>24</v>
      </c>
      <c r="N121" t="s">
        <v>22</v>
      </c>
    </row>
    <row r="122" spans="1:14" x14ac:dyDescent="0.3">
      <c r="A122" t="s">
        <v>180</v>
      </c>
      <c r="B122" s="5">
        <v>46291</v>
      </c>
      <c r="C122" t="s">
        <v>31</v>
      </c>
      <c r="D122" t="s">
        <v>32</v>
      </c>
      <c r="E122" t="s">
        <v>33</v>
      </c>
      <c r="F122" t="s">
        <v>41</v>
      </c>
      <c r="G122" t="s">
        <v>42</v>
      </c>
      <c r="H122" t="s">
        <v>20</v>
      </c>
      <c r="I122">
        <v>2</v>
      </c>
      <c r="J122">
        <v>65000</v>
      </c>
      <c r="K122" s="6">
        <v>0</v>
      </c>
      <c r="L122">
        <v>130000</v>
      </c>
      <c r="M122" t="s">
        <v>29</v>
      </c>
      <c r="N122" t="s">
        <v>22</v>
      </c>
    </row>
    <row r="123" spans="1:14" x14ac:dyDescent="0.3">
      <c r="A123" t="s">
        <v>181</v>
      </c>
      <c r="B123" s="5">
        <v>46280</v>
      </c>
      <c r="C123" t="s">
        <v>26</v>
      </c>
      <c r="D123" t="s">
        <v>27</v>
      </c>
      <c r="E123" t="s">
        <v>28</v>
      </c>
      <c r="F123" t="s">
        <v>34</v>
      </c>
      <c r="G123" t="s">
        <v>35</v>
      </c>
      <c r="H123" t="s">
        <v>36</v>
      </c>
      <c r="I123">
        <v>1</v>
      </c>
      <c r="J123">
        <v>3000</v>
      </c>
      <c r="K123" s="6">
        <v>0.15</v>
      </c>
      <c r="L123">
        <v>2550</v>
      </c>
      <c r="M123" t="s">
        <v>24</v>
      </c>
      <c r="N123" t="s">
        <v>37</v>
      </c>
    </row>
    <row r="124" spans="1:14" x14ac:dyDescent="0.3">
      <c r="A124" t="s">
        <v>182</v>
      </c>
      <c r="B124" s="5">
        <v>46280</v>
      </c>
      <c r="C124" t="s">
        <v>31</v>
      </c>
      <c r="D124" t="s">
        <v>32</v>
      </c>
      <c r="E124" t="s">
        <v>33</v>
      </c>
      <c r="F124" t="s">
        <v>34</v>
      </c>
      <c r="G124" t="s">
        <v>35</v>
      </c>
      <c r="H124" t="s">
        <v>36</v>
      </c>
      <c r="I124">
        <v>5</v>
      </c>
      <c r="J124">
        <v>3000</v>
      </c>
      <c r="K124" s="6">
        <v>0.1</v>
      </c>
      <c r="L124">
        <v>13500</v>
      </c>
      <c r="M124" t="s">
        <v>24</v>
      </c>
      <c r="N124" t="s">
        <v>22</v>
      </c>
    </row>
    <row r="125" spans="1:14" x14ac:dyDescent="0.3">
      <c r="A125" t="s">
        <v>183</v>
      </c>
      <c r="B125" s="5">
        <v>46285</v>
      </c>
      <c r="C125" t="s">
        <v>31</v>
      </c>
      <c r="D125" t="s">
        <v>32</v>
      </c>
      <c r="E125" t="s">
        <v>33</v>
      </c>
      <c r="F125" t="s">
        <v>89</v>
      </c>
      <c r="G125" t="s">
        <v>90</v>
      </c>
      <c r="H125" t="s">
        <v>36</v>
      </c>
      <c r="I125">
        <v>3</v>
      </c>
      <c r="J125">
        <v>3500</v>
      </c>
      <c r="K125" s="6">
        <v>0.15</v>
      </c>
      <c r="L125">
        <v>8925</v>
      </c>
      <c r="M125" t="s">
        <v>50</v>
      </c>
      <c r="N125" t="s">
        <v>37</v>
      </c>
    </row>
    <row r="126" spans="1:14" x14ac:dyDescent="0.3">
      <c r="A126" t="s">
        <v>184</v>
      </c>
      <c r="B126" s="5">
        <v>46274</v>
      </c>
      <c r="C126" t="s">
        <v>15</v>
      </c>
      <c r="D126" t="s">
        <v>16</v>
      </c>
      <c r="E126" t="s">
        <v>17</v>
      </c>
      <c r="F126" t="s">
        <v>18</v>
      </c>
      <c r="G126" t="s">
        <v>19</v>
      </c>
      <c r="H126" t="s">
        <v>20</v>
      </c>
      <c r="I126">
        <v>2</v>
      </c>
      <c r="J126">
        <v>60000</v>
      </c>
      <c r="K126" s="6">
        <v>0</v>
      </c>
      <c r="L126">
        <v>120000</v>
      </c>
      <c r="M126" t="s">
        <v>50</v>
      </c>
      <c r="N126" t="s">
        <v>22</v>
      </c>
    </row>
    <row r="127" spans="1:14" x14ac:dyDescent="0.3">
      <c r="A127" t="s">
        <v>185</v>
      </c>
      <c r="B127" s="5">
        <v>46271</v>
      </c>
      <c r="C127" t="s">
        <v>45</v>
      </c>
      <c r="D127" t="s">
        <v>46</v>
      </c>
      <c r="E127" t="s">
        <v>17</v>
      </c>
      <c r="F127" t="s">
        <v>71</v>
      </c>
      <c r="G127" t="s">
        <v>72</v>
      </c>
      <c r="H127" t="s">
        <v>36</v>
      </c>
      <c r="I127">
        <v>5</v>
      </c>
      <c r="J127">
        <v>1200</v>
      </c>
      <c r="K127" s="6">
        <v>0</v>
      </c>
      <c r="L127">
        <v>6000</v>
      </c>
      <c r="M127" t="s">
        <v>50</v>
      </c>
      <c r="N127" t="s">
        <v>54</v>
      </c>
    </row>
    <row r="128" spans="1:14" x14ac:dyDescent="0.3">
      <c r="A128" t="s">
        <v>186</v>
      </c>
      <c r="B128" s="5">
        <v>46273</v>
      </c>
      <c r="C128" t="s">
        <v>58</v>
      </c>
      <c r="D128" t="s">
        <v>59</v>
      </c>
      <c r="E128" t="s">
        <v>60</v>
      </c>
      <c r="F128" t="s">
        <v>66</v>
      </c>
      <c r="G128" t="s">
        <v>67</v>
      </c>
      <c r="H128" t="s">
        <v>36</v>
      </c>
      <c r="I128">
        <v>3</v>
      </c>
      <c r="J128">
        <v>4500</v>
      </c>
      <c r="K128" s="6">
        <v>0</v>
      </c>
      <c r="L128">
        <v>13500</v>
      </c>
      <c r="M128" t="s">
        <v>43</v>
      </c>
      <c r="N128" t="s">
        <v>22</v>
      </c>
    </row>
    <row r="129" spans="1:14" x14ac:dyDescent="0.3">
      <c r="A129" t="s">
        <v>187</v>
      </c>
      <c r="B129" s="5">
        <v>46295</v>
      </c>
      <c r="C129" t="s">
        <v>15</v>
      </c>
      <c r="D129" t="s">
        <v>16</v>
      </c>
      <c r="E129" t="s">
        <v>17</v>
      </c>
      <c r="F129" t="s">
        <v>66</v>
      </c>
      <c r="G129" t="s">
        <v>67</v>
      </c>
      <c r="H129" t="s">
        <v>36</v>
      </c>
      <c r="I129">
        <v>1</v>
      </c>
      <c r="J129">
        <v>4500</v>
      </c>
      <c r="K129" s="6">
        <v>0</v>
      </c>
      <c r="L129">
        <v>4500</v>
      </c>
      <c r="M129" t="s">
        <v>43</v>
      </c>
      <c r="N129" t="s">
        <v>37</v>
      </c>
    </row>
    <row r="130" spans="1:14" x14ac:dyDescent="0.3">
      <c r="A130" t="s">
        <v>188</v>
      </c>
      <c r="B130" s="5">
        <v>46283</v>
      </c>
      <c r="C130" t="s">
        <v>15</v>
      </c>
      <c r="D130" t="s">
        <v>16</v>
      </c>
      <c r="E130" t="s">
        <v>17</v>
      </c>
      <c r="F130" t="s">
        <v>34</v>
      </c>
      <c r="G130" t="s">
        <v>35</v>
      </c>
      <c r="H130" t="s">
        <v>36</v>
      </c>
      <c r="I130">
        <v>4</v>
      </c>
      <c r="J130">
        <v>3000</v>
      </c>
      <c r="K130" s="6">
        <v>0</v>
      </c>
      <c r="L130">
        <v>12000</v>
      </c>
      <c r="M130" t="s">
        <v>21</v>
      </c>
      <c r="N130" t="s">
        <v>22</v>
      </c>
    </row>
    <row r="131" spans="1:14" x14ac:dyDescent="0.3">
      <c r="A131" t="s">
        <v>189</v>
      </c>
      <c r="B131" s="5">
        <v>46271</v>
      </c>
      <c r="C131" t="s">
        <v>39</v>
      </c>
      <c r="D131" t="s">
        <v>40</v>
      </c>
      <c r="E131" t="s">
        <v>28</v>
      </c>
      <c r="F131" t="s">
        <v>71</v>
      </c>
      <c r="G131" t="s">
        <v>72</v>
      </c>
      <c r="H131" t="s">
        <v>36</v>
      </c>
      <c r="I131">
        <v>1</v>
      </c>
      <c r="J131">
        <v>1200</v>
      </c>
      <c r="K131" s="6">
        <v>0</v>
      </c>
      <c r="L131">
        <v>1200</v>
      </c>
      <c r="M131" t="s">
        <v>43</v>
      </c>
      <c r="N131" t="s">
        <v>37</v>
      </c>
    </row>
    <row r="132" spans="1:14" x14ac:dyDescent="0.3">
      <c r="A132" t="s">
        <v>190</v>
      </c>
      <c r="B132" s="5">
        <v>46280</v>
      </c>
      <c r="C132" t="s">
        <v>15</v>
      </c>
      <c r="D132" t="s">
        <v>16</v>
      </c>
      <c r="E132" t="s">
        <v>17</v>
      </c>
      <c r="F132" t="s">
        <v>52</v>
      </c>
      <c r="G132" t="s">
        <v>53</v>
      </c>
      <c r="H132" t="s">
        <v>49</v>
      </c>
      <c r="I132">
        <v>4</v>
      </c>
      <c r="J132">
        <v>9000</v>
      </c>
      <c r="K132" s="6">
        <v>0</v>
      </c>
      <c r="L132">
        <v>36000</v>
      </c>
      <c r="M132" t="s">
        <v>43</v>
      </c>
      <c r="N132" t="s">
        <v>54</v>
      </c>
    </row>
    <row r="133" spans="1:14" x14ac:dyDescent="0.3">
      <c r="A133" t="s">
        <v>191</v>
      </c>
      <c r="B133" s="5">
        <v>46285</v>
      </c>
      <c r="C133" t="s">
        <v>39</v>
      </c>
      <c r="D133" t="s">
        <v>40</v>
      </c>
      <c r="E133" t="s">
        <v>28</v>
      </c>
      <c r="F133" t="s">
        <v>66</v>
      </c>
      <c r="G133" t="s">
        <v>67</v>
      </c>
      <c r="H133" t="s">
        <v>36</v>
      </c>
      <c r="I133">
        <v>4</v>
      </c>
      <c r="J133">
        <v>4500</v>
      </c>
      <c r="K133" s="6">
        <v>0</v>
      </c>
      <c r="L133">
        <v>18000</v>
      </c>
      <c r="M133" t="s">
        <v>50</v>
      </c>
      <c r="N133" t="s">
        <v>54</v>
      </c>
    </row>
    <row r="134" spans="1:14" x14ac:dyDescent="0.3">
      <c r="A134" t="s">
        <v>192</v>
      </c>
      <c r="B134" s="5">
        <v>46266</v>
      </c>
      <c r="C134" t="s">
        <v>15</v>
      </c>
      <c r="D134" t="s">
        <v>16</v>
      </c>
      <c r="E134" t="s">
        <v>17</v>
      </c>
      <c r="F134" t="s">
        <v>47</v>
      </c>
      <c r="G134" t="s">
        <v>48</v>
      </c>
      <c r="H134" t="s">
        <v>49</v>
      </c>
      <c r="I134">
        <v>5</v>
      </c>
      <c r="J134">
        <v>12500</v>
      </c>
      <c r="K134" s="6">
        <v>0.05</v>
      </c>
      <c r="L134">
        <v>59375</v>
      </c>
      <c r="M134" t="s">
        <v>50</v>
      </c>
      <c r="N134" t="s">
        <v>22</v>
      </c>
    </row>
    <row r="135" spans="1:14" x14ac:dyDescent="0.3">
      <c r="A135" t="s">
        <v>193</v>
      </c>
      <c r="B135" s="5">
        <v>46267</v>
      </c>
      <c r="C135" t="s">
        <v>15</v>
      </c>
      <c r="D135" t="s">
        <v>16</v>
      </c>
      <c r="E135" t="s">
        <v>17</v>
      </c>
      <c r="F135" t="s">
        <v>41</v>
      </c>
      <c r="G135" t="s">
        <v>42</v>
      </c>
      <c r="H135" t="s">
        <v>20</v>
      </c>
      <c r="I135">
        <v>3</v>
      </c>
      <c r="J135">
        <v>65000</v>
      </c>
      <c r="K135" s="6">
        <v>0.15</v>
      </c>
      <c r="L135">
        <v>165750</v>
      </c>
      <c r="M135" t="s">
        <v>21</v>
      </c>
      <c r="N135" t="s">
        <v>54</v>
      </c>
    </row>
    <row r="136" spans="1:14" x14ac:dyDescent="0.3">
      <c r="A136" t="s">
        <v>194</v>
      </c>
      <c r="B136" s="5">
        <v>46284</v>
      </c>
      <c r="C136" t="s">
        <v>31</v>
      </c>
      <c r="D136" t="s">
        <v>32</v>
      </c>
      <c r="E136" t="s">
        <v>33</v>
      </c>
      <c r="F136" t="s">
        <v>66</v>
      </c>
      <c r="G136" t="s">
        <v>67</v>
      </c>
      <c r="H136" t="s">
        <v>36</v>
      </c>
      <c r="I136">
        <v>3</v>
      </c>
      <c r="J136">
        <v>4500</v>
      </c>
      <c r="K136" s="6">
        <v>0</v>
      </c>
      <c r="L136">
        <v>13500</v>
      </c>
      <c r="M136" t="s">
        <v>24</v>
      </c>
      <c r="N136" t="s">
        <v>54</v>
      </c>
    </row>
    <row r="137" spans="1:14" x14ac:dyDescent="0.3">
      <c r="A137" t="s">
        <v>195</v>
      </c>
      <c r="B137" s="5">
        <v>46276</v>
      </c>
      <c r="C137" t="s">
        <v>26</v>
      </c>
      <c r="D137" t="s">
        <v>27</v>
      </c>
      <c r="E137" t="s">
        <v>28</v>
      </c>
      <c r="F137" t="s">
        <v>66</v>
      </c>
      <c r="G137" t="s">
        <v>67</v>
      </c>
      <c r="H137" t="s">
        <v>36</v>
      </c>
      <c r="I137">
        <v>3</v>
      </c>
      <c r="J137">
        <v>4500</v>
      </c>
      <c r="K137" s="6">
        <v>0.1</v>
      </c>
      <c r="L137">
        <v>12150</v>
      </c>
      <c r="M137" t="s">
        <v>43</v>
      </c>
      <c r="N137" t="s">
        <v>22</v>
      </c>
    </row>
    <row r="138" spans="1:14" x14ac:dyDescent="0.3">
      <c r="A138" t="s">
        <v>196</v>
      </c>
      <c r="B138" s="5">
        <v>46275</v>
      </c>
      <c r="C138" t="s">
        <v>45</v>
      </c>
      <c r="D138" t="s">
        <v>46</v>
      </c>
      <c r="E138" t="s">
        <v>17</v>
      </c>
      <c r="F138" t="s">
        <v>47</v>
      </c>
      <c r="G138" t="s">
        <v>48</v>
      </c>
      <c r="H138" t="s">
        <v>49</v>
      </c>
      <c r="I138">
        <v>4</v>
      </c>
      <c r="J138">
        <v>12500</v>
      </c>
      <c r="K138" s="6">
        <v>0.1</v>
      </c>
      <c r="L138">
        <v>45000</v>
      </c>
      <c r="M138" t="s">
        <v>24</v>
      </c>
      <c r="N138" t="s">
        <v>37</v>
      </c>
    </row>
    <row r="139" spans="1:14" x14ac:dyDescent="0.3">
      <c r="A139" t="s">
        <v>197</v>
      </c>
      <c r="B139" s="5">
        <v>46274</v>
      </c>
      <c r="C139" t="s">
        <v>26</v>
      </c>
      <c r="D139" t="s">
        <v>27</v>
      </c>
      <c r="E139" t="s">
        <v>28</v>
      </c>
      <c r="F139" t="s">
        <v>66</v>
      </c>
      <c r="G139" t="s">
        <v>67</v>
      </c>
      <c r="H139" t="s">
        <v>36</v>
      </c>
      <c r="I139">
        <v>1</v>
      </c>
      <c r="J139">
        <v>4500</v>
      </c>
      <c r="K139" s="6">
        <v>0.05</v>
      </c>
      <c r="L139">
        <v>4275</v>
      </c>
      <c r="M139" t="s">
        <v>43</v>
      </c>
      <c r="N139" t="s">
        <v>22</v>
      </c>
    </row>
    <row r="140" spans="1:14" x14ac:dyDescent="0.3">
      <c r="A140" t="s">
        <v>198</v>
      </c>
      <c r="B140" s="5">
        <v>46279</v>
      </c>
      <c r="C140" t="s">
        <v>58</v>
      </c>
      <c r="D140" t="s">
        <v>59</v>
      </c>
      <c r="E140" t="s">
        <v>60</v>
      </c>
      <c r="F140" t="s">
        <v>41</v>
      </c>
      <c r="G140" t="s">
        <v>42</v>
      </c>
      <c r="H140" t="s">
        <v>20</v>
      </c>
      <c r="I140">
        <v>5</v>
      </c>
      <c r="J140">
        <v>65000</v>
      </c>
      <c r="K140" s="6">
        <v>0.1</v>
      </c>
      <c r="L140">
        <v>292500</v>
      </c>
      <c r="M140" t="s">
        <v>50</v>
      </c>
      <c r="N140" t="s">
        <v>22</v>
      </c>
    </row>
    <row r="141" spans="1:14" x14ac:dyDescent="0.3">
      <c r="A141" t="s">
        <v>199</v>
      </c>
      <c r="B141" s="5">
        <v>46286</v>
      </c>
      <c r="C141" t="s">
        <v>31</v>
      </c>
      <c r="D141" t="s">
        <v>32</v>
      </c>
      <c r="E141" t="s">
        <v>33</v>
      </c>
      <c r="F141" t="s">
        <v>47</v>
      </c>
      <c r="G141" t="s">
        <v>48</v>
      </c>
      <c r="H141" t="s">
        <v>49</v>
      </c>
      <c r="I141">
        <v>5</v>
      </c>
      <c r="J141">
        <v>12500</v>
      </c>
      <c r="K141" s="6">
        <v>0.1</v>
      </c>
      <c r="L141">
        <v>56250</v>
      </c>
      <c r="M141" t="s">
        <v>24</v>
      </c>
      <c r="N141" t="s">
        <v>22</v>
      </c>
    </row>
    <row r="142" spans="1:14" x14ac:dyDescent="0.3">
      <c r="A142" t="s">
        <v>75</v>
      </c>
      <c r="B142" s="5">
        <v>46290</v>
      </c>
      <c r="C142" t="s">
        <v>58</v>
      </c>
      <c r="D142" t="s">
        <v>59</v>
      </c>
      <c r="E142" t="s">
        <v>60</v>
      </c>
      <c r="F142" t="s">
        <v>41</v>
      </c>
      <c r="G142" t="s">
        <v>42</v>
      </c>
      <c r="H142" t="s">
        <v>20</v>
      </c>
      <c r="I142">
        <v>3</v>
      </c>
      <c r="J142">
        <v>65000</v>
      </c>
      <c r="K142" s="6">
        <v>0.15</v>
      </c>
      <c r="L142">
        <v>165750</v>
      </c>
      <c r="M142" t="s">
        <v>21</v>
      </c>
      <c r="N142" t="s">
        <v>37</v>
      </c>
    </row>
    <row r="143" spans="1:14" x14ac:dyDescent="0.3">
      <c r="A143" t="s">
        <v>200</v>
      </c>
      <c r="B143" s="5">
        <v>46286</v>
      </c>
      <c r="C143" t="s">
        <v>15</v>
      </c>
      <c r="D143" t="s">
        <v>16</v>
      </c>
      <c r="E143" t="s">
        <v>17</v>
      </c>
      <c r="F143" t="s">
        <v>66</v>
      </c>
      <c r="G143" t="s">
        <v>67</v>
      </c>
      <c r="H143" t="s">
        <v>36</v>
      </c>
      <c r="I143">
        <v>1</v>
      </c>
      <c r="J143">
        <v>4500</v>
      </c>
      <c r="K143" s="6">
        <v>0</v>
      </c>
      <c r="L143">
        <v>4500</v>
      </c>
      <c r="M143" t="s">
        <v>29</v>
      </c>
      <c r="N143" t="s">
        <v>22</v>
      </c>
    </row>
    <row r="144" spans="1:14" x14ac:dyDescent="0.3">
      <c r="A144" t="s">
        <v>201</v>
      </c>
      <c r="B144" s="5">
        <v>46266</v>
      </c>
      <c r="C144" t="s">
        <v>15</v>
      </c>
      <c r="D144" t="s">
        <v>16</v>
      </c>
      <c r="E144" t="s">
        <v>17</v>
      </c>
      <c r="F144" t="s">
        <v>71</v>
      </c>
      <c r="G144" t="s">
        <v>72</v>
      </c>
      <c r="H144" t="s">
        <v>36</v>
      </c>
      <c r="I144">
        <v>3</v>
      </c>
      <c r="J144">
        <v>1200</v>
      </c>
      <c r="K144" s="6">
        <v>0.15</v>
      </c>
      <c r="L144">
        <v>3060</v>
      </c>
      <c r="M144" t="s">
        <v>29</v>
      </c>
      <c r="N144" t="s">
        <v>54</v>
      </c>
    </row>
    <row r="145" spans="1:14" x14ac:dyDescent="0.3">
      <c r="A145" t="s">
        <v>202</v>
      </c>
      <c r="B145" s="5">
        <v>46269</v>
      </c>
      <c r="C145" t="s">
        <v>26</v>
      </c>
      <c r="D145" t="s">
        <v>27</v>
      </c>
      <c r="E145" t="s">
        <v>28</v>
      </c>
      <c r="F145" t="s">
        <v>34</v>
      </c>
      <c r="G145" t="s">
        <v>35</v>
      </c>
      <c r="H145" t="s">
        <v>36</v>
      </c>
      <c r="I145">
        <v>1</v>
      </c>
      <c r="J145">
        <v>3000</v>
      </c>
      <c r="K145" s="6">
        <v>0.1</v>
      </c>
      <c r="L145">
        <v>2700</v>
      </c>
      <c r="M145" t="s">
        <v>21</v>
      </c>
      <c r="N145" t="s">
        <v>54</v>
      </c>
    </row>
    <row r="146" spans="1:14" x14ac:dyDescent="0.3">
      <c r="A146" t="s">
        <v>203</v>
      </c>
      <c r="B146" s="5">
        <v>46279</v>
      </c>
      <c r="C146" t="s">
        <v>15</v>
      </c>
      <c r="D146" t="s">
        <v>16</v>
      </c>
      <c r="E146" t="s">
        <v>17</v>
      </c>
      <c r="F146" t="s">
        <v>52</v>
      </c>
      <c r="G146" t="s">
        <v>53</v>
      </c>
      <c r="H146" t="s">
        <v>49</v>
      </c>
      <c r="I146">
        <v>5</v>
      </c>
      <c r="J146">
        <v>9000</v>
      </c>
      <c r="K146" s="6">
        <v>0.05</v>
      </c>
      <c r="L146">
        <v>42750</v>
      </c>
      <c r="M146" t="s">
        <v>24</v>
      </c>
      <c r="N146" t="s">
        <v>54</v>
      </c>
    </row>
    <row r="147" spans="1:14" x14ac:dyDescent="0.3">
      <c r="A147" t="s">
        <v>204</v>
      </c>
      <c r="B147" s="5">
        <v>46278</v>
      </c>
      <c r="C147" t="s">
        <v>45</v>
      </c>
      <c r="D147" t="s">
        <v>46</v>
      </c>
      <c r="E147" t="s">
        <v>17</v>
      </c>
      <c r="F147" t="s">
        <v>66</v>
      </c>
      <c r="G147" t="s">
        <v>67</v>
      </c>
      <c r="H147" t="s">
        <v>36</v>
      </c>
      <c r="I147">
        <v>5</v>
      </c>
      <c r="J147">
        <v>4500</v>
      </c>
      <c r="K147" s="6">
        <v>0</v>
      </c>
      <c r="L147">
        <v>22500</v>
      </c>
      <c r="M147" t="s">
        <v>21</v>
      </c>
      <c r="N147" t="s">
        <v>37</v>
      </c>
    </row>
    <row r="148" spans="1:14" x14ac:dyDescent="0.3">
      <c r="A148" t="s">
        <v>205</v>
      </c>
      <c r="B148" s="5">
        <v>46290</v>
      </c>
      <c r="C148" t="s">
        <v>31</v>
      </c>
      <c r="D148" t="s">
        <v>32</v>
      </c>
      <c r="E148" t="s">
        <v>33</v>
      </c>
      <c r="F148" t="s">
        <v>71</v>
      </c>
      <c r="G148" t="s">
        <v>72</v>
      </c>
      <c r="H148" t="s">
        <v>36</v>
      </c>
      <c r="I148">
        <v>1</v>
      </c>
      <c r="J148">
        <v>1200</v>
      </c>
      <c r="K148" s="6">
        <v>0.05</v>
      </c>
      <c r="L148">
        <v>1140</v>
      </c>
      <c r="M148" t="s">
        <v>24</v>
      </c>
      <c r="N148" t="s">
        <v>22</v>
      </c>
    </row>
    <row r="149" spans="1:14" x14ac:dyDescent="0.3">
      <c r="A149" t="s">
        <v>206</v>
      </c>
      <c r="B149" s="5">
        <v>46289</v>
      </c>
      <c r="C149" t="s">
        <v>31</v>
      </c>
      <c r="D149" t="s">
        <v>32</v>
      </c>
      <c r="E149" t="s">
        <v>33</v>
      </c>
      <c r="F149" t="s">
        <v>52</v>
      </c>
      <c r="G149" t="s">
        <v>53</v>
      </c>
      <c r="H149" t="s">
        <v>49</v>
      </c>
      <c r="I149">
        <v>1</v>
      </c>
      <c r="J149">
        <v>9000</v>
      </c>
      <c r="K149" s="6">
        <v>0.05</v>
      </c>
      <c r="L149">
        <v>8550</v>
      </c>
      <c r="M149" t="s">
        <v>43</v>
      </c>
      <c r="N149" t="s">
        <v>37</v>
      </c>
    </row>
    <row r="150" spans="1:14" x14ac:dyDescent="0.3">
      <c r="A150" t="s">
        <v>207</v>
      </c>
      <c r="B150" s="5">
        <v>46283</v>
      </c>
      <c r="C150" t="s">
        <v>31</v>
      </c>
      <c r="D150" t="s">
        <v>32</v>
      </c>
      <c r="E150" t="s">
        <v>33</v>
      </c>
      <c r="F150" t="s">
        <v>66</v>
      </c>
      <c r="G150" t="s">
        <v>67</v>
      </c>
      <c r="H150" t="s">
        <v>36</v>
      </c>
      <c r="I150">
        <v>2</v>
      </c>
      <c r="J150">
        <v>4500</v>
      </c>
      <c r="K150" s="6">
        <v>0.1</v>
      </c>
      <c r="L150">
        <v>8100</v>
      </c>
      <c r="M150" t="s">
        <v>24</v>
      </c>
      <c r="N150" t="s">
        <v>22</v>
      </c>
    </row>
    <row r="151" spans="1:14" x14ac:dyDescent="0.3">
      <c r="A151" t="s">
        <v>208</v>
      </c>
      <c r="B151" s="5">
        <v>46293</v>
      </c>
      <c r="C151" t="s">
        <v>39</v>
      </c>
      <c r="D151" t="s">
        <v>40</v>
      </c>
      <c r="E151" t="s">
        <v>28</v>
      </c>
      <c r="F151" t="s">
        <v>89</v>
      </c>
      <c r="G151" t="s">
        <v>90</v>
      </c>
      <c r="H151" t="s">
        <v>36</v>
      </c>
      <c r="I151">
        <v>4</v>
      </c>
      <c r="J151">
        <v>3500</v>
      </c>
      <c r="K151" s="6">
        <v>0.05</v>
      </c>
      <c r="L151">
        <v>13300</v>
      </c>
      <c r="M151" t="s">
        <v>21</v>
      </c>
      <c r="N151" t="s">
        <v>22</v>
      </c>
    </row>
    <row r="152" spans="1:14" x14ac:dyDescent="0.3">
      <c r="B152" s="5"/>
      <c r="K152" s="6"/>
      <c r="L152">
        <f>SUM(Sales_Transactions[Sales_Amount])</f>
        <v>7077040</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25178-3AAB-41F0-8341-1A4FC7AFD1D9}">
  <dimension ref="A3:E19"/>
  <sheetViews>
    <sheetView workbookViewId="0">
      <selection activeCell="A26" sqref="A26"/>
    </sheetView>
  </sheetViews>
  <sheetFormatPr defaultRowHeight="14.4" x14ac:dyDescent="0.3"/>
  <cols>
    <col min="1" max="1" width="12.44140625" customWidth="1"/>
    <col min="2" max="2" width="19" customWidth="1"/>
    <col min="3" max="3" width="14.21875" customWidth="1"/>
    <col min="4" max="4" width="22.88671875" customWidth="1"/>
    <col min="5" max="5" width="72.44140625" customWidth="1"/>
  </cols>
  <sheetData>
    <row r="3" spans="1:5" x14ac:dyDescent="0.3">
      <c r="A3" s="1" t="s">
        <v>210</v>
      </c>
      <c r="B3" t="s">
        <v>212</v>
      </c>
      <c r="C3" t="s">
        <v>213</v>
      </c>
      <c r="D3" t="s">
        <v>214</v>
      </c>
    </row>
    <row r="4" spans="1:5" x14ac:dyDescent="0.3">
      <c r="A4" s="2" t="s">
        <v>60</v>
      </c>
      <c r="B4" s="19">
        <v>1459840</v>
      </c>
      <c r="C4" s="19">
        <v>81</v>
      </c>
      <c r="D4" s="19">
        <v>63471.304347826088</v>
      </c>
    </row>
    <row r="5" spans="1:5" x14ac:dyDescent="0.3">
      <c r="A5" s="2" t="s">
        <v>28</v>
      </c>
      <c r="B5" s="19">
        <v>1880655</v>
      </c>
      <c r="C5" s="19">
        <v>156</v>
      </c>
      <c r="D5" s="19">
        <v>33583.125</v>
      </c>
      <c r="E5" t="s">
        <v>216</v>
      </c>
    </row>
    <row r="6" spans="1:5" x14ac:dyDescent="0.3">
      <c r="A6" s="2" t="s">
        <v>33</v>
      </c>
      <c r="B6" s="19">
        <v>1216865</v>
      </c>
      <c r="C6" s="19">
        <v>71</v>
      </c>
      <c r="D6" s="19">
        <v>57945.952380952382</v>
      </c>
    </row>
    <row r="7" spans="1:5" x14ac:dyDescent="0.3">
      <c r="A7" s="2" t="s">
        <v>17</v>
      </c>
      <c r="B7" s="19">
        <v>2353930</v>
      </c>
      <c r="C7" s="19">
        <v>142</v>
      </c>
      <c r="D7" s="19">
        <v>48039.387755102041</v>
      </c>
    </row>
    <row r="8" spans="1:5" x14ac:dyDescent="0.3">
      <c r="A8" s="2" t="s">
        <v>211</v>
      </c>
      <c r="B8" s="19">
        <v>6911290</v>
      </c>
      <c r="C8" s="19">
        <v>450</v>
      </c>
      <c r="D8" s="19">
        <v>46384.496644295301</v>
      </c>
    </row>
    <row r="12" spans="1:5" x14ac:dyDescent="0.3">
      <c r="A12" s="1" t="s">
        <v>210</v>
      </c>
      <c r="B12" t="s">
        <v>212</v>
      </c>
    </row>
    <row r="13" spans="1:5" x14ac:dyDescent="0.3">
      <c r="A13" s="2" t="s">
        <v>59</v>
      </c>
      <c r="B13" s="19">
        <v>1459840</v>
      </c>
    </row>
    <row r="14" spans="1:5" x14ac:dyDescent="0.3">
      <c r="A14" s="2" t="s">
        <v>32</v>
      </c>
      <c r="B14" s="19">
        <v>1258865</v>
      </c>
      <c r="C14" t="s">
        <v>215</v>
      </c>
    </row>
    <row r="15" spans="1:5" x14ac:dyDescent="0.3">
      <c r="A15" s="2" t="s">
        <v>16</v>
      </c>
      <c r="B15" s="19">
        <v>1189685</v>
      </c>
    </row>
    <row r="16" spans="1:5" x14ac:dyDescent="0.3">
      <c r="A16" s="2" t="s">
        <v>46</v>
      </c>
      <c r="B16" s="19">
        <v>1152745</v>
      </c>
    </row>
    <row r="17" spans="1:2" x14ac:dyDescent="0.3">
      <c r="A17" s="2" t="s">
        <v>27</v>
      </c>
      <c r="B17" s="19">
        <v>975080</v>
      </c>
    </row>
    <row r="18" spans="1:2" x14ac:dyDescent="0.3">
      <c r="A18" s="2" t="s">
        <v>40</v>
      </c>
      <c r="B18" s="19">
        <v>875075</v>
      </c>
    </row>
    <row r="19" spans="1:2" x14ac:dyDescent="0.3">
      <c r="A19" s="2" t="s">
        <v>211</v>
      </c>
      <c r="B19" s="19">
        <v>6911290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CF573-F7A8-43CE-BDC3-16A5495C0896}">
  <dimension ref="A3:N98"/>
  <sheetViews>
    <sheetView topLeftCell="A14" workbookViewId="0">
      <selection activeCell="D32" sqref="D32"/>
    </sheetView>
  </sheetViews>
  <sheetFormatPr defaultRowHeight="14.4" x14ac:dyDescent="0.3"/>
  <cols>
    <col min="1" max="1" width="12.44140625" customWidth="1"/>
    <col min="2" max="2" width="19" customWidth="1"/>
    <col min="3" max="3" width="13.44140625" customWidth="1"/>
    <col min="4" max="4" width="22.88671875" customWidth="1"/>
    <col min="5" max="5" width="10.5546875" customWidth="1"/>
  </cols>
  <sheetData>
    <row r="3" spans="1:5" x14ac:dyDescent="0.3">
      <c r="A3" s="1" t="s">
        <v>210</v>
      </c>
      <c r="B3" t="s">
        <v>212</v>
      </c>
      <c r="C3" t="s">
        <v>213</v>
      </c>
    </row>
    <row r="4" spans="1:5" x14ac:dyDescent="0.3">
      <c r="A4" s="2" t="s">
        <v>42</v>
      </c>
      <c r="B4" s="19">
        <v>3480750</v>
      </c>
      <c r="C4" s="19">
        <v>62</v>
      </c>
    </row>
    <row r="5" spans="1:5" x14ac:dyDescent="0.3">
      <c r="A5" s="2" t="s">
        <v>19</v>
      </c>
      <c r="B5" s="19">
        <v>1500000</v>
      </c>
      <c r="C5" s="19">
        <v>26</v>
      </c>
    </row>
    <row r="6" spans="1:5" x14ac:dyDescent="0.3">
      <c r="A6" s="2" t="s">
        <v>53</v>
      </c>
      <c r="B6" s="19">
        <v>628200</v>
      </c>
      <c r="C6" s="19">
        <v>73</v>
      </c>
    </row>
    <row r="7" spans="1:5" x14ac:dyDescent="0.3">
      <c r="A7" s="2" t="s">
        <v>48</v>
      </c>
      <c r="B7" s="19">
        <v>562500</v>
      </c>
      <c r="C7" s="19">
        <v>49</v>
      </c>
      <c r="E7" t="s">
        <v>219</v>
      </c>
    </row>
    <row r="8" spans="1:5" x14ac:dyDescent="0.3">
      <c r="A8" s="2" t="s">
        <v>67</v>
      </c>
      <c r="B8" s="19">
        <v>318600</v>
      </c>
      <c r="C8" s="19">
        <v>76</v>
      </c>
    </row>
    <row r="9" spans="1:5" x14ac:dyDescent="0.3">
      <c r="A9" s="2" t="s">
        <v>35</v>
      </c>
      <c r="B9" s="19">
        <v>204750</v>
      </c>
      <c r="C9" s="19">
        <v>73</v>
      </c>
    </row>
    <row r="10" spans="1:5" x14ac:dyDescent="0.3">
      <c r="A10" s="2" t="s">
        <v>90</v>
      </c>
      <c r="B10" s="19">
        <v>167650</v>
      </c>
      <c r="C10" s="19">
        <v>48</v>
      </c>
    </row>
    <row r="11" spans="1:5" x14ac:dyDescent="0.3">
      <c r="A11" s="2" t="s">
        <v>72</v>
      </c>
      <c r="B11" s="19">
        <v>48840</v>
      </c>
      <c r="C11" s="19">
        <v>43</v>
      </c>
    </row>
    <row r="12" spans="1:5" x14ac:dyDescent="0.3">
      <c r="A12" s="4" t="s">
        <v>211</v>
      </c>
      <c r="B12" s="19">
        <v>6911290</v>
      </c>
      <c r="C12" s="19">
        <v>450</v>
      </c>
    </row>
    <row r="16" spans="1:5" x14ac:dyDescent="0.3">
      <c r="A16" s="1" t="s">
        <v>210</v>
      </c>
      <c r="B16" t="s">
        <v>212</v>
      </c>
      <c r="C16" t="s">
        <v>213</v>
      </c>
      <c r="D16" t="s">
        <v>214</v>
      </c>
    </row>
    <row r="17" spans="1:14" x14ac:dyDescent="0.3">
      <c r="A17" s="2" t="s">
        <v>60</v>
      </c>
      <c r="B17" s="19">
        <v>1459840</v>
      </c>
      <c r="C17" s="19">
        <v>81</v>
      </c>
      <c r="D17" s="19">
        <v>63471.304347826088</v>
      </c>
    </row>
    <row r="18" spans="1:14" x14ac:dyDescent="0.3">
      <c r="A18" s="2" t="s">
        <v>28</v>
      </c>
      <c r="B18" s="19">
        <v>1880655</v>
      </c>
      <c r="C18" s="19">
        <v>156</v>
      </c>
      <c r="D18" s="19">
        <v>33583.125</v>
      </c>
      <c r="F18" s="7" t="s">
        <v>221</v>
      </c>
      <c r="G18" s="7"/>
      <c r="H18" s="7"/>
      <c r="I18" s="7"/>
      <c r="J18" s="7"/>
      <c r="K18" s="7"/>
      <c r="L18" s="7"/>
      <c r="M18" s="7"/>
      <c r="N18" s="7"/>
    </row>
    <row r="19" spans="1:14" x14ac:dyDescent="0.3">
      <c r="A19" s="2" t="s">
        <v>33</v>
      </c>
      <c r="B19" s="19">
        <v>1216865</v>
      </c>
      <c r="C19" s="19">
        <v>71</v>
      </c>
      <c r="D19" s="19">
        <v>57945.952380952382</v>
      </c>
      <c r="F19" s="7" t="s">
        <v>220</v>
      </c>
      <c r="G19" s="7"/>
      <c r="H19" s="7"/>
      <c r="I19" s="7"/>
      <c r="J19" s="7"/>
      <c r="K19" s="7"/>
      <c r="L19" s="7"/>
      <c r="M19" s="7"/>
      <c r="N19" s="7"/>
    </row>
    <row r="20" spans="1:14" x14ac:dyDescent="0.3">
      <c r="A20" s="2" t="s">
        <v>17</v>
      </c>
      <c r="B20" s="19">
        <v>2353930</v>
      </c>
      <c r="C20" s="19">
        <v>142</v>
      </c>
      <c r="D20" s="19">
        <v>48039.387755102041</v>
      </c>
      <c r="F20" s="7"/>
      <c r="G20" s="7"/>
      <c r="H20" s="7"/>
      <c r="I20" s="7"/>
      <c r="J20" s="7"/>
      <c r="K20" s="7"/>
      <c r="L20" s="7"/>
      <c r="M20" s="7"/>
      <c r="N20" s="7"/>
    </row>
    <row r="21" spans="1:14" x14ac:dyDescent="0.3">
      <c r="A21" s="4" t="s">
        <v>211</v>
      </c>
      <c r="B21" s="19">
        <v>6911290</v>
      </c>
      <c r="C21" s="19">
        <v>450</v>
      </c>
      <c r="D21" s="19">
        <v>46384.496644295301</v>
      </c>
    </row>
    <row r="27" spans="1:14" x14ac:dyDescent="0.3">
      <c r="A27" s="1" t="s">
        <v>212</v>
      </c>
      <c r="B27" s="1" t="s">
        <v>223</v>
      </c>
    </row>
    <row r="28" spans="1:14" x14ac:dyDescent="0.3">
      <c r="A28" s="1" t="s">
        <v>210</v>
      </c>
      <c r="B28" t="s">
        <v>36</v>
      </c>
      <c r="C28" t="s">
        <v>20</v>
      </c>
      <c r="D28" t="s">
        <v>49</v>
      </c>
      <c r="E28" t="s">
        <v>211</v>
      </c>
    </row>
    <row r="29" spans="1:14" x14ac:dyDescent="0.3">
      <c r="A29" s="2" t="s">
        <v>60</v>
      </c>
      <c r="B29" s="19">
        <v>109790</v>
      </c>
      <c r="C29" s="19">
        <v>1083250</v>
      </c>
      <c r="D29" s="19">
        <v>266800</v>
      </c>
      <c r="E29" s="19">
        <v>1459840</v>
      </c>
    </row>
    <row r="30" spans="1:14" x14ac:dyDescent="0.3">
      <c r="A30" s="2" t="s">
        <v>28</v>
      </c>
      <c r="B30" s="19">
        <v>291580</v>
      </c>
      <c r="C30" s="19">
        <v>1195000</v>
      </c>
      <c r="D30" s="19">
        <v>394075</v>
      </c>
      <c r="E30" s="19">
        <v>1880655</v>
      </c>
      <c r="G30" t="s">
        <v>222</v>
      </c>
    </row>
    <row r="31" spans="1:14" x14ac:dyDescent="0.3">
      <c r="A31" s="2" t="s">
        <v>33</v>
      </c>
      <c r="B31" s="19">
        <v>125815</v>
      </c>
      <c r="C31" s="19">
        <v>1017250</v>
      </c>
      <c r="D31" s="19">
        <v>73800</v>
      </c>
      <c r="E31" s="19">
        <v>1216865</v>
      </c>
    </row>
    <row r="32" spans="1:14" x14ac:dyDescent="0.3">
      <c r="A32" s="2" t="s">
        <v>17</v>
      </c>
      <c r="B32" s="19">
        <v>212655</v>
      </c>
      <c r="C32" s="19">
        <v>1685250</v>
      </c>
      <c r="D32" s="19">
        <v>456025</v>
      </c>
      <c r="E32" s="19">
        <v>2353930</v>
      </c>
    </row>
    <row r="33" spans="1:6" x14ac:dyDescent="0.3">
      <c r="A33" s="4" t="s">
        <v>211</v>
      </c>
      <c r="B33" s="19">
        <v>739840</v>
      </c>
      <c r="C33" s="19">
        <v>4980750</v>
      </c>
      <c r="D33" s="19">
        <v>1190700</v>
      </c>
      <c r="E33" s="19">
        <v>6911290</v>
      </c>
    </row>
    <row r="40" spans="1:6" x14ac:dyDescent="0.3">
      <c r="A40" s="1" t="s">
        <v>210</v>
      </c>
      <c r="B40" t="s">
        <v>224</v>
      </c>
      <c r="C40" t="s">
        <v>212</v>
      </c>
    </row>
    <row r="41" spans="1:6" x14ac:dyDescent="0.3">
      <c r="A41" s="2" t="s">
        <v>50</v>
      </c>
      <c r="B41" s="19">
        <v>35</v>
      </c>
      <c r="C41" s="19">
        <v>2465285</v>
      </c>
    </row>
    <row r="42" spans="1:6" x14ac:dyDescent="0.3">
      <c r="A42" s="2" t="s">
        <v>43</v>
      </c>
      <c r="B42" s="19">
        <v>32</v>
      </c>
      <c r="C42" s="19">
        <v>1347450</v>
      </c>
    </row>
    <row r="43" spans="1:6" ht="18" x14ac:dyDescent="0.3">
      <c r="A43" s="2" t="s">
        <v>24</v>
      </c>
      <c r="B43" s="19">
        <v>26</v>
      </c>
      <c r="C43" s="19">
        <v>1109290</v>
      </c>
      <c r="E43" s="8" t="s">
        <v>226</v>
      </c>
    </row>
    <row r="44" spans="1:6" x14ac:dyDescent="0.3">
      <c r="A44" s="2" t="s">
        <v>21</v>
      </c>
      <c r="B44" s="19">
        <v>31</v>
      </c>
      <c r="C44" s="19">
        <v>1092465</v>
      </c>
      <c r="F44" t="s">
        <v>227</v>
      </c>
    </row>
    <row r="45" spans="1:6" x14ac:dyDescent="0.3">
      <c r="A45" s="2" t="s">
        <v>29</v>
      </c>
      <c r="B45" s="19">
        <v>24</v>
      </c>
      <c r="C45" s="19">
        <v>854300</v>
      </c>
      <c r="E45" t="s">
        <v>225</v>
      </c>
    </row>
    <row r="46" spans="1:6" x14ac:dyDescent="0.3">
      <c r="A46" s="2" t="s">
        <v>209</v>
      </c>
      <c r="B46" s="19">
        <v>1</v>
      </c>
      <c r="C46" s="19">
        <v>42500</v>
      </c>
    </row>
    <row r="47" spans="1:6" x14ac:dyDescent="0.3">
      <c r="A47" s="4" t="s">
        <v>211</v>
      </c>
      <c r="B47" s="19">
        <v>149</v>
      </c>
      <c r="C47" s="19">
        <v>6911290</v>
      </c>
    </row>
    <row r="51" spans="1:5" x14ac:dyDescent="0.3">
      <c r="A51" s="1" t="s">
        <v>210</v>
      </c>
      <c r="B51" t="s">
        <v>213</v>
      </c>
    </row>
    <row r="52" spans="1:5" x14ac:dyDescent="0.3">
      <c r="A52" s="2" t="s">
        <v>67</v>
      </c>
      <c r="B52" s="19">
        <v>76</v>
      </c>
    </row>
    <row r="53" spans="1:5" x14ac:dyDescent="0.3">
      <c r="A53" s="2" t="s">
        <v>35</v>
      </c>
      <c r="B53" s="19">
        <v>73</v>
      </c>
    </row>
    <row r="54" spans="1:5" x14ac:dyDescent="0.3">
      <c r="A54" s="2" t="s">
        <v>53</v>
      </c>
      <c r="B54" s="19">
        <v>73</v>
      </c>
      <c r="C54" t="s">
        <v>228</v>
      </c>
    </row>
    <row r="55" spans="1:5" x14ac:dyDescent="0.3">
      <c r="A55" s="2" t="s">
        <v>42</v>
      </c>
      <c r="B55" s="19">
        <v>62</v>
      </c>
      <c r="C55" t="s">
        <v>229</v>
      </c>
    </row>
    <row r="56" spans="1:5" x14ac:dyDescent="0.3">
      <c r="A56" s="2" t="s">
        <v>48</v>
      </c>
      <c r="B56" s="19">
        <v>49</v>
      </c>
    </row>
    <row r="57" spans="1:5" x14ac:dyDescent="0.3">
      <c r="A57" s="4" t="s">
        <v>211</v>
      </c>
      <c r="B57" s="19">
        <v>333</v>
      </c>
    </row>
    <row r="62" spans="1:5" x14ac:dyDescent="0.3">
      <c r="A62" s="1" t="s">
        <v>210</v>
      </c>
      <c r="B62" t="s">
        <v>212</v>
      </c>
      <c r="C62" t="s">
        <v>230</v>
      </c>
    </row>
    <row r="63" spans="1:5" x14ac:dyDescent="0.3">
      <c r="A63" s="2" t="s">
        <v>36</v>
      </c>
      <c r="B63" s="19">
        <v>739840</v>
      </c>
      <c r="C63" s="9">
        <v>0.10704803300107506</v>
      </c>
      <c r="E63" t="s">
        <v>231</v>
      </c>
    </row>
    <row r="64" spans="1:5" x14ac:dyDescent="0.3">
      <c r="A64" s="2" t="s">
        <v>20</v>
      </c>
      <c r="B64" s="19">
        <v>4980750</v>
      </c>
      <c r="C64" s="9">
        <v>0.72066864507204875</v>
      </c>
      <c r="E64" t="s">
        <v>232</v>
      </c>
    </row>
    <row r="65" spans="1:5" x14ac:dyDescent="0.3">
      <c r="A65" s="2" t="s">
        <v>49</v>
      </c>
      <c r="B65" s="19">
        <v>1190700</v>
      </c>
      <c r="C65" s="9">
        <v>0.17228332192687618</v>
      </c>
    </row>
    <row r="66" spans="1:5" x14ac:dyDescent="0.3">
      <c r="A66" s="4" t="s">
        <v>211</v>
      </c>
      <c r="B66" s="19">
        <v>6911290</v>
      </c>
      <c r="C66" s="9">
        <v>1</v>
      </c>
    </row>
    <row r="72" spans="1:5" x14ac:dyDescent="0.3">
      <c r="A72" s="1" t="s">
        <v>210</v>
      </c>
      <c r="B72" t="s">
        <v>212</v>
      </c>
      <c r="C72" t="s">
        <v>233</v>
      </c>
    </row>
    <row r="73" spans="1:5" x14ac:dyDescent="0.3">
      <c r="A73" s="2" t="s">
        <v>60</v>
      </c>
      <c r="B73" s="19">
        <v>1459840</v>
      </c>
      <c r="C73" s="19"/>
      <c r="E73" t="s">
        <v>234</v>
      </c>
    </row>
    <row r="74" spans="1:5" x14ac:dyDescent="0.3">
      <c r="A74" s="2" t="s">
        <v>28</v>
      </c>
      <c r="B74" s="19">
        <v>1880655</v>
      </c>
      <c r="C74" s="19">
        <v>420815</v>
      </c>
    </row>
    <row r="75" spans="1:5" x14ac:dyDescent="0.3">
      <c r="A75" s="2" t="s">
        <v>33</v>
      </c>
      <c r="B75" s="19">
        <v>1216865</v>
      </c>
      <c r="C75" s="19">
        <v>-663790</v>
      </c>
    </row>
    <row r="76" spans="1:5" x14ac:dyDescent="0.3">
      <c r="A76" s="2" t="s">
        <v>17</v>
      </c>
      <c r="B76" s="19">
        <v>2353930</v>
      </c>
      <c r="C76" s="19">
        <v>1137065</v>
      </c>
    </row>
    <row r="77" spans="1:5" x14ac:dyDescent="0.3">
      <c r="A77" s="4" t="s">
        <v>211</v>
      </c>
      <c r="B77" s="19">
        <v>6911290</v>
      </c>
      <c r="C77" s="19"/>
    </row>
    <row r="83" spans="1:3" x14ac:dyDescent="0.3">
      <c r="A83" s="1" t="s">
        <v>210</v>
      </c>
      <c r="B83" t="s">
        <v>212</v>
      </c>
    </row>
    <row r="84" spans="1:3" x14ac:dyDescent="0.3">
      <c r="A84" s="2" t="s">
        <v>60</v>
      </c>
      <c r="B84" s="19">
        <v>1459840</v>
      </c>
    </row>
    <row r="85" spans="1:3" x14ac:dyDescent="0.3">
      <c r="A85" s="3" t="s">
        <v>59</v>
      </c>
      <c r="B85" s="19">
        <v>1459840</v>
      </c>
    </row>
    <row r="86" spans="1:3" x14ac:dyDescent="0.3">
      <c r="A86" s="2" t="s">
        <v>28</v>
      </c>
      <c r="B86" s="19">
        <v>1880655</v>
      </c>
    </row>
    <row r="87" spans="1:3" x14ac:dyDescent="0.3">
      <c r="A87" s="3" t="s">
        <v>27</v>
      </c>
      <c r="B87" s="19">
        <v>966080</v>
      </c>
    </row>
    <row r="88" spans="1:3" x14ac:dyDescent="0.3">
      <c r="A88" s="3" t="s">
        <v>40</v>
      </c>
      <c r="B88" s="19">
        <v>875075</v>
      </c>
      <c r="C88" t="s">
        <v>235</v>
      </c>
    </row>
    <row r="89" spans="1:3" x14ac:dyDescent="0.3">
      <c r="A89" s="3" t="s">
        <v>16</v>
      </c>
      <c r="B89" s="19">
        <v>27000</v>
      </c>
    </row>
    <row r="90" spans="1:3" x14ac:dyDescent="0.3">
      <c r="A90" s="3" t="s">
        <v>46</v>
      </c>
      <c r="B90" s="19">
        <v>12500</v>
      </c>
      <c r="C90" t="s">
        <v>236</v>
      </c>
    </row>
    <row r="91" spans="1:3" x14ac:dyDescent="0.3">
      <c r="A91" s="2" t="s">
        <v>33</v>
      </c>
      <c r="B91" s="19">
        <v>1216865</v>
      </c>
    </row>
    <row r="92" spans="1:3" x14ac:dyDescent="0.3">
      <c r="A92" s="3" t="s">
        <v>32</v>
      </c>
      <c r="B92" s="19">
        <v>1207865</v>
      </c>
    </row>
    <row r="93" spans="1:3" x14ac:dyDescent="0.3">
      <c r="A93" s="3" t="s">
        <v>27</v>
      </c>
      <c r="B93" s="19">
        <v>9000</v>
      </c>
    </row>
    <row r="94" spans="1:3" x14ac:dyDescent="0.3">
      <c r="A94" s="2" t="s">
        <v>17</v>
      </c>
      <c r="B94" s="19">
        <v>2353930</v>
      </c>
    </row>
    <row r="95" spans="1:3" x14ac:dyDescent="0.3">
      <c r="A95" s="3" t="s">
        <v>16</v>
      </c>
      <c r="B95" s="19">
        <v>1162685</v>
      </c>
    </row>
    <row r="96" spans="1:3" x14ac:dyDescent="0.3">
      <c r="A96" s="3" t="s">
        <v>46</v>
      </c>
      <c r="B96" s="19">
        <v>1140245</v>
      </c>
    </row>
    <row r="97" spans="1:2" x14ac:dyDescent="0.3">
      <c r="A97" s="3" t="s">
        <v>32</v>
      </c>
      <c r="B97" s="19">
        <v>51000</v>
      </c>
    </row>
    <row r="98" spans="1:2" x14ac:dyDescent="0.3">
      <c r="A98" s="4" t="s">
        <v>211</v>
      </c>
      <c r="B98" s="19">
        <v>6911290</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0D6F0-C412-4CC2-9738-1E475EE43BF6}">
  <dimension ref="A3:F43"/>
  <sheetViews>
    <sheetView topLeftCell="A21" workbookViewId="0">
      <selection activeCell="A41" sqref="A41:A43"/>
    </sheetView>
  </sheetViews>
  <sheetFormatPr defaultRowHeight="14.4" x14ac:dyDescent="0.3"/>
  <cols>
    <col min="1" max="1" width="12.44140625" customWidth="1"/>
    <col min="2" max="2" width="19" customWidth="1"/>
    <col min="3" max="3" width="13.77734375" customWidth="1"/>
    <col min="4" max="4" width="22.88671875" customWidth="1"/>
  </cols>
  <sheetData>
    <row r="3" spans="1:6" x14ac:dyDescent="0.3">
      <c r="A3" s="1" t="s">
        <v>210</v>
      </c>
      <c r="B3" t="s">
        <v>212</v>
      </c>
      <c r="C3" t="s">
        <v>243</v>
      </c>
    </row>
    <row r="4" spans="1:6" x14ac:dyDescent="0.3">
      <c r="A4" s="2" t="s">
        <v>60</v>
      </c>
      <c r="B4" s="19">
        <v>1459840</v>
      </c>
      <c r="C4" s="9">
        <v>0.21122540075731158</v>
      </c>
    </row>
    <row r="5" spans="1:6" x14ac:dyDescent="0.3">
      <c r="A5" s="2" t="s">
        <v>28</v>
      </c>
      <c r="B5" s="19">
        <v>1880655</v>
      </c>
      <c r="C5" s="9">
        <v>0.2721134549411181</v>
      </c>
    </row>
    <row r="6" spans="1:6" x14ac:dyDescent="0.3">
      <c r="A6" s="2" t="s">
        <v>33</v>
      </c>
      <c r="B6" s="19">
        <v>1216865</v>
      </c>
      <c r="C6" s="9">
        <v>0.17606915640929552</v>
      </c>
    </row>
    <row r="7" spans="1:6" x14ac:dyDescent="0.3">
      <c r="A7" s="2" t="s">
        <v>17</v>
      </c>
      <c r="B7" s="19">
        <v>2353930</v>
      </c>
      <c r="C7" s="9">
        <v>0.34059198789227479</v>
      </c>
    </row>
    <row r="8" spans="1:6" x14ac:dyDescent="0.3">
      <c r="A8" s="2" t="s">
        <v>211</v>
      </c>
      <c r="B8" s="19">
        <v>6911290</v>
      </c>
      <c r="C8" s="9">
        <v>1</v>
      </c>
    </row>
    <row r="13" spans="1:6" x14ac:dyDescent="0.3">
      <c r="A13" s="1" t="s">
        <v>210</v>
      </c>
      <c r="B13" t="s">
        <v>212</v>
      </c>
    </row>
    <row r="14" spans="1:6" x14ac:dyDescent="0.3">
      <c r="A14" s="2" t="s">
        <v>27</v>
      </c>
      <c r="B14" s="19">
        <v>975080</v>
      </c>
    </row>
    <row r="15" spans="1:6" x14ac:dyDescent="0.3">
      <c r="A15" s="2" t="s">
        <v>59</v>
      </c>
      <c r="B15" s="19">
        <v>1459840</v>
      </c>
      <c r="E15">
        <f>SUM(B14:B16)</f>
        <v>3309995</v>
      </c>
    </row>
    <row r="16" spans="1:6" x14ac:dyDescent="0.3">
      <c r="A16" s="2" t="s">
        <v>40</v>
      </c>
      <c r="B16" s="19">
        <v>875075</v>
      </c>
      <c r="F16">
        <f>E15-E17</f>
        <v>-291300</v>
      </c>
    </row>
    <row r="17" spans="1:5" x14ac:dyDescent="0.3">
      <c r="A17" s="2" t="s">
        <v>16</v>
      </c>
      <c r="B17" s="19">
        <v>1189685</v>
      </c>
      <c r="E17">
        <f>SUM(B17:B19)</f>
        <v>3601295</v>
      </c>
    </row>
    <row r="18" spans="1:5" x14ac:dyDescent="0.3">
      <c r="A18" s="2" t="s">
        <v>46</v>
      </c>
      <c r="B18" s="19">
        <v>1152745</v>
      </c>
    </row>
    <row r="19" spans="1:5" x14ac:dyDescent="0.3">
      <c r="A19" s="2" t="s">
        <v>32</v>
      </c>
      <c r="B19" s="19">
        <v>1258865</v>
      </c>
      <c r="E19">
        <f>B14-B19</f>
        <v>-283785</v>
      </c>
    </row>
    <row r="20" spans="1:5" x14ac:dyDescent="0.3">
      <c r="A20" s="2" t="s">
        <v>211</v>
      </c>
      <c r="B20" s="19">
        <v>6911290</v>
      </c>
    </row>
    <row r="27" spans="1:5" x14ac:dyDescent="0.3">
      <c r="A27" s="19" t="e" vm="1">
        <v>#VALUE!</v>
      </c>
    </row>
    <row r="41" spans="1:1" x14ac:dyDescent="0.3">
      <c r="A41" s="17" t="s">
        <v>244</v>
      </c>
    </row>
    <row r="42" spans="1:1" x14ac:dyDescent="0.3">
      <c r="A42" s="17" t="s">
        <v>245</v>
      </c>
    </row>
    <row r="43" spans="1:1" x14ac:dyDescent="0.3">
      <c r="A43" s="17" t="s">
        <v>246</v>
      </c>
    </row>
  </sheetData>
  <conditionalFormatting pivot="1">
    <cfRule type="colorScale" priority="2">
      <colorScale>
        <cfvo type="min"/>
        <cfvo type="percentile" val="50"/>
        <cfvo type="max"/>
        <color rgb="FFF8696B"/>
        <color rgb="FFFFEB84"/>
        <color rgb="FF63BE7B"/>
      </colorScale>
    </cfRule>
  </conditionalFormatting>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93F6F-62C8-4E3C-B289-8F947A3A9357}">
  <dimension ref="A3:E46"/>
  <sheetViews>
    <sheetView topLeftCell="A4" zoomScale="117" workbookViewId="0">
      <selection activeCell="A15" sqref="A15"/>
    </sheetView>
  </sheetViews>
  <sheetFormatPr defaultRowHeight="14.4" x14ac:dyDescent="0.3"/>
  <cols>
    <col min="1" max="1" width="12.5546875" bestFit="1" customWidth="1"/>
    <col min="2" max="2" width="19.77734375" bestFit="1" customWidth="1"/>
    <col min="3" max="3" width="24" bestFit="1" customWidth="1"/>
    <col min="4" max="4" width="13.21875" customWidth="1"/>
    <col min="5" max="5" width="10.44140625" customWidth="1"/>
  </cols>
  <sheetData>
    <row r="3" spans="1:5" x14ac:dyDescent="0.3">
      <c r="A3" t="s">
        <v>212</v>
      </c>
      <c r="B3" t="s">
        <v>224</v>
      </c>
      <c r="C3" t="s">
        <v>214</v>
      </c>
      <c r="D3" t="s">
        <v>252</v>
      </c>
      <c r="E3" t="s">
        <v>253</v>
      </c>
    </row>
    <row r="4" spans="1:5" x14ac:dyDescent="0.3">
      <c r="A4" s="19">
        <v>6911290</v>
      </c>
      <c r="B4" s="19">
        <v>149</v>
      </c>
      <c r="C4" s="19">
        <v>46384.496644295301</v>
      </c>
      <c r="D4" s="16">
        <f>(A4/4500000)</f>
        <v>1.5358422222222223</v>
      </c>
      <c r="E4" s="18">
        <f>A4-4500000</f>
        <v>2411290</v>
      </c>
    </row>
    <row r="7" spans="1:5" x14ac:dyDescent="0.3">
      <c r="A7" t="s">
        <v>249</v>
      </c>
      <c r="B7" t="s">
        <v>250</v>
      </c>
      <c r="C7" t="s">
        <v>251</v>
      </c>
      <c r="D7" t="s">
        <v>252</v>
      </c>
      <c r="E7" t="s">
        <v>253</v>
      </c>
    </row>
    <row r="8" spans="1:5" x14ac:dyDescent="0.3">
      <c r="A8" t="str">
        <f>TEXT(A4,"₹ ##,##,###")</f>
        <v>₹ 69,11,290</v>
      </c>
      <c r="B8">
        <f>B4</f>
        <v>149</v>
      </c>
      <c r="C8" t="str">
        <f>TEXT(C4,"₹ ##,###.##")</f>
        <v>₹ 46,384.5</v>
      </c>
      <c r="D8" s="9">
        <f>D4</f>
        <v>1.5358422222222223</v>
      </c>
      <c r="E8" s="18">
        <f>E4</f>
        <v>2411290</v>
      </c>
    </row>
    <row r="15" spans="1:5" x14ac:dyDescent="0.3">
      <c r="A15" s="1" t="s">
        <v>210</v>
      </c>
      <c r="B15" t="s">
        <v>212</v>
      </c>
    </row>
    <row r="16" spans="1:5" x14ac:dyDescent="0.3">
      <c r="A16" s="4">
        <v>46266</v>
      </c>
      <c r="B16" s="19">
        <v>62435</v>
      </c>
    </row>
    <row r="17" spans="1:2" x14ac:dyDescent="0.3">
      <c r="A17" s="4">
        <v>46267</v>
      </c>
      <c r="B17" s="19">
        <v>446800</v>
      </c>
    </row>
    <row r="18" spans="1:2" x14ac:dyDescent="0.3">
      <c r="A18" s="4">
        <v>46268</v>
      </c>
      <c r="B18" s="19">
        <v>135095</v>
      </c>
    </row>
    <row r="19" spans="1:2" x14ac:dyDescent="0.3">
      <c r="A19" s="4">
        <v>46269</v>
      </c>
      <c r="B19" s="19">
        <v>179025</v>
      </c>
    </row>
    <row r="20" spans="1:2" x14ac:dyDescent="0.3">
      <c r="A20" s="4">
        <v>46270</v>
      </c>
      <c r="B20" s="19">
        <v>100800</v>
      </c>
    </row>
    <row r="21" spans="1:2" x14ac:dyDescent="0.3">
      <c r="A21" s="4">
        <v>46271</v>
      </c>
      <c r="B21" s="19">
        <v>313825</v>
      </c>
    </row>
    <row r="22" spans="1:2" x14ac:dyDescent="0.3">
      <c r="A22" s="4">
        <v>46272</v>
      </c>
      <c r="B22" s="19">
        <v>112050</v>
      </c>
    </row>
    <row r="23" spans="1:2" x14ac:dyDescent="0.3">
      <c r="A23" s="4">
        <v>46273</v>
      </c>
      <c r="B23" s="19">
        <v>160500</v>
      </c>
    </row>
    <row r="24" spans="1:2" x14ac:dyDescent="0.3">
      <c r="A24" s="4">
        <v>46274</v>
      </c>
      <c r="B24" s="19">
        <v>146775</v>
      </c>
    </row>
    <row r="25" spans="1:2" x14ac:dyDescent="0.3">
      <c r="A25" s="4">
        <v>46275</v>
      </c>
      <c r="B25" s="19">
        <v>251100</v>
      </c>
    </row>
    <row r="26" spans="1:2" x14ac:dyDescent="0.3">
      <c r="A26" s="4">
        <v>46276</v>
      </c>
      <c r="B26" s="19">
        <v>226975</v>
      </c>
    </row>
    <row r="27" spans="1:2" x14ac:dyDescent="0.3">
      <c r="A27" s="4">
        <v>46277</v>
      </c>
      <c r="B27" s="19">
        <v>12600</v>
      </c>
    </row>
    <row r="28" spans="1:2" x14ac:dyDescent="0.3">
      <c r="A28" s="4">
        <v>46278</v>
      </c>
      <c r="B28" s="19">
        <v>60500</v>
      </c>
    </row>
    <row r="29" spans="1:2" x14ac:dyDescent="0.3">
      <c r="A29" s="4">
        <v>46279</v>
      </c>
      <c r="B29" s="19">
        <v>380250</v>
      </c>
    </row>
    <row r="30" spans="1:2" x14ac:dyDescent="0.3">
      <c r="A30" s="4">
        <v>46280</v>
      </c>
      <c r="B30" s="19">
        <v>474850</v>
      </c>
    </row>
    <row r="31" spans="1:2" x14ac:dyDescent="0.3">
      <c r="A31" s="4">
        <v>46281</v>
      </c>
      <c r="B31" s="19">
        <v>621170</v>
      </c>
    </row>
    <row r="32" spans="1:2" x14ac:dyDescent="0.3">
      <c r="A32" s="4">
        <v>46282</v>
      </c>
      <c r="B32" s="19">
        <v>369140</v>
      </c>
    </row>
    <row r="33" spans="1:2" x14ac:dyDescent="0.3">
      <c r="A33" s="4">
        <v>46283</v>
      </c>
      <c r="B33" s="19">
        <v>69825</v>
      </c>
    </row>
    <row r="34" spans="1:2" x14ac:dyDescent="0.3">
      <c r="A34" s="4">
        <v>46284</v>
      </c>
      <c r="B34" s="19">
        <v>765350</v>
      </c>
    </row>
    <row r="35" spans="1:2" x14ac:dyDescent="0.3">
      <c r="A35" s="4">
        <v>46285</v>
      </c>
      <c r="B35" s="19">
        <v>179910</v>
      </c>
    </row>
    <row r="36" spans="1:2" x14ac:dyDescent="0.3">
      <c r="A36" s="4">
        <v>46286</v>
      </c>
      <c r="B36" s="19">
        <v>272400</v>
      </c>
    </row>
    <row r="37" spans="1:2" x14ac:dyDescent="0.3">
      <c r="A37" s="4">
        <v>46287</v>
      </c>
      <c r="B37" s="19">
        <v>77500</v>
      </c>
    </row>
    <row r="38" spans="1:2" x14ac:dyDescent="0.3">
      <c r="A38" s="4">
        <v>46288</v>
      </c>
      <c r="B38" s="19">
        <v>27000</v>
      </c>
    </row>
    <row r="39" spans="1:2" x14ac:dyDescent="0.3">
      <c r="A39" s="4">
        <v>46289</v>
      </c>
      <c r="B39" s="19">
        <v>80350</v>
      </c>
    </row>
    <row r="40" spans="1:2" x14ac:dyDescent="0.3">
      <c r="A40" s="4">
        <v>46290</v>
      </c>
      <c r="B40" s="19">
        <v>212815</v>
      </c>
    </row>
    <row r="41" spans="1:2" x14ac:dyDescent="0.3">
      <c r="A41" s="4">
        <v>46291</v>
      </c>
      <c r="B41" s="19">
        <v>193000</v>
      </c>
    </row>
    <row r="42" spans="1:2" x14ac:dyDescent="0.3">
      <c r="A42" s="4">
        <v>46292</v>
      </c>
      <c r="B42" s="19">
        <v>144700</v>
      </c>
    </row>
    <row r="43" spans="1:2" x14ac:dyDescent="0.3">
      <c r="A43" s="4">
        <v>46293</v>
      </c>
      <c r="B43" s="19">
        <v>58300</v>
      </c>
    </row>
    <row r="44" spans="1:2" x14ac:dyDescent="0.3">
      <c r="A44" s="4">
        <v>46294</v>
      </c>
      <c r="B44" s="19">
        <v>111500</v>
      </c>
    </row>
    <row r="45" spans="1:2" x14ac:dyDescent="0.3">
      <c r="A45" s="4">
        <v>46295</v>
      </c>
      <c r="B45" s="19">
        <v>664750</v>
      </c>
    </row>
    <row r="46" spans="1:2" x14ac:dyDescent="0.3">
      <c r="A46" s="4" t="s">
        <v>211</v>
      </c>
      <c r="B46" s="19">
        <v>6911290</v>
      </c>
    </row>
  </sheetData>
  <pageMargins left="0.7" right="0.7" top="0.75" bottom="0.75" header="0.3" footer="0.3"/>
  <pageSetup orientation="portrait" r:id="rId3"/>
  <drawing r:id="rId4"/>
  <tableParts count="1">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42196-2FDB-498A-B730-180A247A0266}">
  <dimension ref="A3:B30"/>
  <sheetViews>
    <sheetView topLeftCell="A13" zoomScaleNormal="100" workbookViewId="0">
      <selection activeCell="G40" sqref="G40"/>
    </sheetView>
  </sheetViews>
  <sheetFormatPr defaultRowHeight="14.4" x14ac:dyDescent="0.3"/>
  <cols>
    <col min="1" max="1" width="12.5546875" bestFit="1" customWidth="1"/>
    <col min="2" max="2" width="19.77734375" bestFit="1" customWidth="1"/>
  </cols>
  <sheetData>
    <row r="3" spans="1:2" x14ac:dyDescent="0.3">
      <c r="A3" s="1" t="s">
        <v>210</v>
      </c>
      <c r="B3" t="s">
        <v>212</v>
      </c>
    </row>
    <row r="4" spans="1:2" x14ac:dyDescent="0.3">
      <c r="A4" s="2" t="s">
        <v>59</v>
      </c>
      <c r="B4" s="19">
        <v>1459840</v>
      </c>
    </row>
    <row r="5" spans="1:2" x14ac:dyDescent="0.3">
      <c r="A5" s="2" t="s">
        <v>32</v>
      </c>
      <c r="B5" s="19">
        <v>1258865</v>
      </c>
    </row>
    <row r="6" spans="1:2" x14ac:dyDescent="0.3">
      <c r="A6" s="2" t="s">
        <v>16</v>
      </c>
      <c r="B6" s="19">
        <v>1189685</v>
      </c>
    </row>
    <row r="7" spans="1:2" x14ac:dyDescent="0.3">
      <c r="A7" s="2" t="s">
        <v>46</v>
      </c>
      <c r="B7" s="19">
        <v>1152745</v>
      </c>
    </row>
    <row r="8" spans="1:2" x14ac:dyDescent="0.3">
      <c r="A8" s="2" t="s">
        <v>27</v>
      </c>
      <c r="B8" s="19">
        <v>975080</v>
      </c>
    </row>
    <row r="9" spans="1:2" x14ac:dyDescent="0.3">
      <c r="A9" s="2" t="s">
        <v>40</v>
      </c>
      <c r="B9" s="19">
        <v>875075</v>
      </c>
    </row>
    <row r="10" spans="1:2" x14ac:dyDescent="0.3">
      <c r="A10" s="2" t="s">
        <v>211</v>
      </c>
      <c r="B10" s="19">
        <v>6911290</v>
      </c>
    </row>
    <row r="26" spans="1:2" x14ac:dyDescent="0.3">
      <c r="A26" s="1" t="s">
        <v>210</v>
      </c>
      <c r="B26" t="s">
        <v>212</v>
      </c>
    </row>
    <row r="27" spans="1:2" x14ac:dyDescent="0.3">
      <c r="A27" s="2" t="s">
        <v>60</v>
      </c>
      <c r="B27" s="9">
        <v>0.21122540075731158</v>
      </c>
    </row>
    <row r="28" spans="1:2" x14ac:dyDescent="0.3">
      <c r="A28" s="2" t="s">
        <v>28</v>
      </c>
      <c r="B28" s="9">
        <v>0.2721134549411181</v>
      </c>
    </row>
    <row r="29" spans="1:2" x14ac:dyDescent="0.3">
      <c r="A29" s="2" t="s">
        <v>33</v>
      </c>
      <c r="B29" s="9">
        <v>0.17606915640929552</v>
      </c>
    </row>
    <row r="30" spans="1:2" x14ac:dyDescent="0.3">
      <c r="A30" s="2" t="s">
        <v>17</v>
      </c>
      <c r="B30" s="9">
        <v>0.34059198789227479</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91ED0-FF93-402F-972C-087A61D7CF1F}">
  <dimension ref="B5:M17"/>
  <sheetViews>
    <sheetView workbookViewId="0">
      <selection activeCell="G18" sqref="G18"/>
    </sheetView>
  </sheetViews>
  <sheetFormatPr defaultRowHeight="14.4" x14ac:dyDescent="0.3"/>
  <cols>
    <col min="3" max="3" width="15.5546875" customWidth="1"/>
    <col min="9" max="9" width="10.44140625" customWidth="1"/>
    <col min="10" max="10" width="10.109375" customWidth="1"/>
    <col min="11" max="11" width="10.44140625" customWidth="1"/>
    <col min="12" max="12" width="15.6640625" customWidth="1"/>
    <col min="13" max="13" width="12.109375" customWidth="1"/>
  </cols>
  <sheetData>
    <row r="5" spans="2:13" x14ac:dyDescent="0.3">
      <c r="B5" s="10" t="s">
        <v>4</v>
      </c>
      <c r="C5" s="12" t="s">
        <v>237</v>
      </c>
      <c r="H5" s="10" t="s">
        <v>4</v>
      </c>
      <c r="I5" s="12" t="s">
        <v>238</v>
      </c>
      <c r="J5" s="12" t="s">
        <v>239</v>
      </c>
      <c r="K5" s="12" t="s">
        <v>240</v>
      </c>
      <c r="L5" s="12" t="s">
        <v>241</v>
      </c>
      <c r="M5" t="s">
        <v>242</v>
      </c>
    </row>
    <row r="6" spans="2:13" x14ac:dyDescent="0.3">
      <c r="B6" s="13" t="s">
        <v>28</v>
      </c>
      <c r="C6" s="14">
        <v>1500000</v>
      </c>
      <c r="H6" s="13" t="s">
        <v>28</v>
      </c>
      <c r="I6" s="14">
        <f>C6</f>
        <v>1500000</v>
      </c>
      <c r="J6" s="11">
        <f>'Analysis 3'!B5</f>
        <v>1880655</v>
      </c>
      <c r="K6" s="14">
        <f>J6-I6</f>
        <v>380655</v>
      </c>
      <c r="L6" s="15">
        <f>Table2[[#This Row],[Actual]]/Table2[[#This Row],[Target]]</f>
        <v>1.2537700000000001</v>
      </c>
      <c r="M6" s="9">
        <f>K6/I6</f>
        <v>0.25377</v>
      </c>
    </row>
    <row r="7" spans="2:13" x14ac:dyDescent="0.3">
      <c r="B7" s="13" t="s">
        <v>17</v>
      </c>
      <c r="C7" s="14">
        <v>1200000</v>
      </c>
      <c r="H7" s="13" t="s">
        <v>17</v>
      </c>
      <c r="I7" s="14">
        <f t="shared" ref="I7:I9" si="0">C7</f>
        <v>1200000</v>
      </c>
      <c r="J7" s="11">
        <f>'Analysis 3'!B7</f>
        <v>2353930</v>
      </c>
      <c r="K7" s="14">
        <f t="shared" ref="K7:K9" si="1">J7-I7</f>
        <v>1153930</v>
      </c>
      <c r="L7" s="15">
        <f>Table2[[#This Row],[Actual]]/Table2[[#This Row],[Target]]</f>
        <v>1.9616083333333334</v>
      </c>
      <c r="M7" s="9">
        <f t="shared" ref="M7:M9" si="2">K7/I7</f>
        <v>0.96160833333333329</v>
      </c>
    </row>
    <row r="8" spans="2:13" ht="28.8" x14ac:dyDescent="0.3">
      <c r="B8" s="13" t="s">
        <v>60</v>
      </c>
      <c r="C8" s="14">
        <v>1000000</v>
      </c>
      <c r="H8" s="13" t="s">
        <v>60</v>
      </c>
      <c r="I8" s="14">
        <f t="shared" si="0"/>
        <v>1000000</v>
      </c>
      <c r="J8" s="11">
        <f>'Analysis 3'!B4</f>
        <v>1459840</v>
      </c>
      <c r="K8" s="14">
        <f t="shared" si="1"/>
        <v>459840</v>
      </c>
      <c r="L8" s="15">
        <f>Table2[[#This Row],[Actual]]/Table2[[#This Row],[Target]]</f>
        <v>1.45984</v>
      </c>
      <c r="M8" s="9">
        <f t="shared" si="2"/>
        <v>0.45984000000000003</v>
      </c>
    </row>
    <row r="9" spans="2:13" x14ac:dyDescent="0.3">
      <c r="B9" s="13" t="s">
        <v>33</v>
      </c>
      <c r="C9" s="14">
        <v>800000</v>
      </c>
      <c r="H9" s="13" t="s">
        <v>33</v>
      </c>
      <c r="I9" s="14">
        <f t="shared" si="0"/>
        <v>800000</v>
      </c>
      <c r="J9" s="11">
        <f>'Analysis 3'!B6</f>
        <v>1216865</v>
      </c>
      <c r="K9" s="14">
        <f t="shared" si="1"/>
        <v>416865</v>
      </c>
      <c r="L9" s="15">
        <f>Table2[[#This Row],[Actual]]/Table2[[#This Row],[Target]]</f>
        <v>1.5210812499999999</v>
      </c>
      <c r="M9" s="9">
        <f t="shared" si="2"/>
        <v>0.52108125000000005</v>
      </c>
    </row>
    <row r="10" spans="2:13" x14ac:dyDescent="0.3">
      <c r="C10" s="18"/>
    </row>
    <row r="13" spans="2:13" x14ac:dyDescent="0.3">
      <c r="J13" s="9"/>
    </row>
    <row r="14" spans="2:13" x14ac:dyDescent="0.3">
      <c r="J14" s="9"/>
      <c r="L14" s="9"/>
    </row>
    <row r="15" spans="2:13" x14ac:dyDescent="0.3">
      <c r="J15" s="9"/>
    </row>
    <row r="16" spans="2:13" x14ac:dyDescent="0.3">
      <c r="J16" s="9"/>
    </row>
    <row r="17" spans="10:10" x14ac:dyDescent="0.3">
      <c r="J17" s="16"/>
    </row>
  </sheetData>
  <pageMargins left="0.7" right="0.7" top="0.75" bottom="0.75" header="0.3" footer="0.3"/>
  <pageSetup orientation="portrait"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A6A4A-FE49-4789-B4A2-AF0812E95725}">
  <dimension ref="A1:AF35"/>
  <sheetViews>
    <sheetView showGridLines="0" tabSelected="1" zoomScale="82" zoomScaleNormal="85" workbookViewId="0">
      <selection activeCell="A5" sqref="A5:AF35"/>
    </sheetView>
  </sheetViews>
  <sheetFormatPr defaultRowHeight="14.4" x14ac:dyDescent="0.3"/>
  <sheetData>
    <row r="1" spans="1:32" ht="14.4" customHeight="1" x14ac:dyDescent="0.3">
      <c r="A1" s="25" t="s">
        <v>247</v>
      </c>
      <c r="B1" s="21"/>
      <c r="C1" s="21"/>
      <c r="D1" s="21"/>
      <c r="E1" s="21"/>
      <c r="F1" s="21"/>
      <c r="G1" s="21"/>
      <c r="H1" s="21"/>
      <c r="I1" s="21"/>
      <c r="J1" s="21"/>
      <c r="K1" s="21"/>
      <c r="L1" s="21"/>
      <c r="M1" s="21"/>
      <c r="N1" s="21"/>
      <c r="O1" s="21"/>
      <c r="P1" s="21"/>
      <c r="Q1" s="21"/>
      <c r="R1" s="21"/>
      <c r="S1" s="21"/>
      <c r="T1" s="21"/>
      <c r="U1" s="21"/>
      <c r="V1" s="21"/>
      <c r="W1" s="21"/>
      <c r="X1" s="21"/>
      <c r="Y1" s="23"/>
      <c r="Z1" s="23"/>
      <c r="AA1" s="23"/>
      <c r="AB1" s="23"/>
      <c r="AC1" s="23"/>
      <c r="AD1" s="23"/>
      <c r="AE1" s="23"/>
      <c r="AF1" s="23"/>
    </row>
    <row r="2" spans="1:32" ht="14.4" customHeight="1" x14ac:dyDescent="0.3">
      <c r="A2" s="21"/>
      <c r="B2" s="21"/>
      <c r="C2" s="21"/>
      <c r="D2" s="21"/>
      <c r="E2" s="21"/>
      <c r="F2" s="21"/>
      <c r="G2" s="21"/>
      <c r="H2" s="21"/>
      <c r="I2" s="21"/>
      <c r="J2" s="21"/>
      <c r="K2" s="21"/>
      <c r="L2" s="21"/>
      <c r="M2" s="21"/>
      <c r="N2" s="21"/>
      <c r="O2" s="21"/>
      <c r="P2" s="21"/>
      <c r="Q2" s="21"/>
      <c r="R2" s="21"/>
      <c r="S2" s="21"/>
      <c r="T2" s="21"/>
      <c r="U2" s="21"/>
      <c r="V2" s="21"/>
      <c r="W2" s="21"/>
      <c r="X2" s="21"/>
      <c r="Y2" s="23"/>
      <c r="Z2" s="23"/>
      <c r="AA2" s="23"/>
      <c r="AB2" s="23"/>
      <c r="AC2" s="23"/>
      <c r="AD2" s="23"/>
      <c r="AE2" s="23"/>
      <c r="AF2" s="23"/>
    </row>
    <row r="3" spans="1:32" ht="14.4" customHeight="1" x14ac:dyDescent="0.3">
      <c r="A3" s="21"/>
      <c r="B3" s="21"/>
      <c r="C3" s="21"/>
      <c r="D3" s="21"/>
      <c r="E3" s="21"/>
      <c r="F3" s="21"/>
      <c r="G3" s="21"/>
      <c r="H3" s="21"/>
      <c r="I3" s="21"/>
      <c r="J3" s="21"/>
      <c r="K3" s="21"/>
      <c r="L3" s="21"/>
      <c r="M3" s="21"/>
      <c r="N3" s="21"/>
      <c r="O3" s="21"/>
      <c r="P3" s="21"/>
      <c r="Q3" s="21"/>
      <c r="R3" s="21"/>
      <c r="S3" s="21"/>
      <c r="T3" s="21"/>
      <c r="U3" s="21"/>
      <c r="V3" s="21"/>
      <c r="W3" s="21"/>
      <c r="X3" s="21"/>
      <c r="Y3" s="23"/>
      <c r="Z3" s="23"/>
      <c r="AA3" s="23"/>
      <c r="AB3" s="23"/>
      <c r="AC3" s="23"/>
      <c r="AD3" s="23"/>
      <c r="AE3" s="23"/>
      <c r="AF3" s="23"/>
    </row>
    <row r="4" spans="1:32" ht="17.399999999999999" x14ac:dyDescent="0.35">
      <c r="A4" s="24" t="s">
        <v>248</v>
      </c>
      <c r="B4" s="22"/>
      <c r="C4" s="22"/>
      <c r="D4" s="22"/>
      <c r="E4" s="22"/>
      <c r="F4" s="22"/>
      <c r="G4" s="22"/>
      <c r="H4" s="22"/>
      <c r="I4" s="22"/>
      <c r="J4" s="22"/>
      <c r="K4" s="22"/>
      <c r="L4" s="22"/>
      <c r="M4" s="22"/>
      <c r="N4" s="22"/>
      <c r="O4" s="22"/>
      <c r="P4" s="22"/>
      <c r="Q4" s="22"/>
      <c r="R4" s="22"/>
      <c r="S4" s="22"/>
      <c r="T4" s="22"/>
      <c r="U4" s="22"/>
      <c r="V4" s="22"/>
      <c r="W4" s="22"/>
      <c r="X4" s="22"/>
      <c r="Y4" s="23"/>
      <c r="Z4" s="23"/>
      <c r="AA4" s="23"/>
      <c r="AB4" s="23"/>
      <c r="AC4" s="23"/>
      <c r="AD4" s="23"/>
      <c r="AE4" s="23"/>
      <c r="AF4" s="23"/>
    </row>
    <row r="5" spans="1:32"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row>
    <row r="6" spans="1:32" x14ac:dyDescent="0.3">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row>
    <row r="7" spans="1:32" x14ac:dyDescent="0.3">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row>
    <row r="8" spans="1:32" x14ac:dyDescent="0.3">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x14ac:dyDescent="0.3">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row>
    <row r="10" spans="1:32" x14ac:dyDescent="0.3">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row>
    <row r="11" spans="1:32" x14ac:dyDescent="0.3">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row>
    <row r="12" spans="1:32" x14ac:dyDescent="0.3">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row>
    <row r="13" spans="1:32" x14ac:dyDescent="0.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row>
    <row r="14" spans="1:32" x14ac:dyDescent="0.3">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row>
    <row r="15" spans="1:32" x14ac:dyDescent="0.3">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row>
    <row r="16" spans="1:32" x14ac:dyDescent="0.3">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row>
    <row r="17" spans="1:32" x14ac:dyDescent="0.3">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row>
    <row r="18" spans="1:32" x14ac:dyDescent="0.3">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row>
    <row r="19" spans="1:32" x14ac:dyDescent="0.3">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row>
    <row r="20" spans="1:32" x14ac:dyDescent="0.3">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row>
    <row r="21" spans="1:32" x14ac:dyDescent="0.3">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row>
    <row r="22" spans="1:32" x14ac:dyDescent="0.3">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row>
    <row r="23" spans="1:32" x14ac:dyDescent="0.3">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row>
    <row r="24" spans="1:32" x14ac:dyDescent="0.3">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row>
    <row r="25" spans="1:32" x14ac:dyDescent="0.3">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row>
    <row r="26" spans="1:32" x14ac:dyDescent="0.3">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row>
    <row r="27" spans="1:32" x14ac:dyDescent="0.3">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row>
    <row r="28" spans="1:32" x14ac:dyDescent="0.3">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row>
    <row r="29" spans="1:32" x14ac:dyDescent="0.3">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row>
    <row r="30" spans="1:32" x14ac:dyDescent="0.3">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row>
    <row r="31" spans="1:32" x14ac:dyDescent="0.3">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row>
    <row r="32" spans="1:32" x14ac:dyDescent="0.3">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row>
    <row r="33" spans="1:32" x14ac:dyDescent="0.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row>
    <row r="34" spans="1:32" x14ac:dyDescent="0.3">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row>
    <row r="35" spans="1:32" x14ac:dyDescent="0.3">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row>
  </sheetData>
  <mergeCells count="4">
    <mergeCell ref="A1:X3"/>
    <mergeCell ref="A4:X4"/>
    <mergeCell ref="A5:AF35"/>
    <mergeCell ref="Y1:AF4"/>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D8AB716E-1480-4FF4-840E-FC3786F228BF}">
  <ds:schemaRefs/>
</ds:datastoreItem>
</file>

<file path=customXml/itemProps2.xml><?xml version="1.0" encoding="utf-8"?>
<ds:datastoreItem xmlns:ds="http://schemas.openxmlformats.org/officeDocument/2006/customXml" ds:itemID="{F987F331-1B16-47CC-9707-F4E649F0B7D1}">
  <ds:schemaRefs/>
</ds:datastoreItem>
</file>

<file path=customXml/itemProps3.xml><?xml version="1.0" encoding="utf-8"?>
<ds:datastoreItem xmlns:ds="http://schemas.openxmlformats.org/officeDocument/2006/customXml" ds:itemID="{F4BB3E56-BEF4-402A-A47E-D73CD7DF1049}">
  <ds:schemaRefs/>
</ds:datastoreItem>
</file>

<file path=customXml/itemProps4.xml><?xml version="1.0" encoding="utf-8"?>
<ds:datastoreItem xmlns:ds="http://schemas.openxmlformats.org/officeDocument/2006/customXml" ds:itemID="{B29680DC-666B-4179-9987-7DB432352804}">
  <ds:schemaRefs/>
</ds:datastoreItem>
</file>

<file path=customXml/itemProps5.xml><?xml version="1.0" encoding="utf-8"?>
<ds:datastoreItem xmlns:ds="http://schemas.openxmlformats.org/officeDocument/2006/customXml" ds:itemID="{AF2A76C9-B447-4DB1-AEDD-33785AB74FC1}">
  <ds:schemaRefs/>
</ds:datastoreItem>
</file>

<file path=customXml/itemProps6.xml><?xml version="1.0" encoding="utf-8"?>
<ds:datastoreItem xmlns:ds="http://schemas.openxmlformats.org/officeDocument/2006/customXml" ds:itemID="{F8C1709B-F6C1-4D17-9A63-CC7381D10700}">
  <ds:schemaRefs/>
</ds:datastoreItem>
</file>

<file path=customXml/itemProps7.xml><?xml version="1.0" encoding="utf-8"?>
<ds:datastoreItem xmlns:ds="http://schemas.openxmlformats.org/officeDocument/2006/customXml" ds:itemID="{B5EBF895-D258-445D-9257-05FCF2113A19}">
  <ds:schemaRefs/>
</ds:datastoreItem>
</file>

<file path=customXml/itemProps8.xml><?xml version="1.0" encoding="utf-8"?>
<ds:datastoreItem xmlns:ds="http://schemas.openxmlformats.org/officeDocument/2006/customXml" ds:itemID="{5E11DFA3-1338-4041-92D1-94C693EA5CE3}">
  <ds:schemaRefs/>
</ds:datastoreItem>
</file>

<file path=customXml/itemProps9.xml><?xml version="1.0" encoding="utf-8"?>
<ds:datastoreItem xmlns:ds="http://schemas.openxmlformats.org/officeDocument/2006/customXml" ds:itemID="{D3115C41-6AC7-40FF-B457-406C62E0AC72}">
  <ds:schemaRefs>
    <ds:schemaRef ds:uri="http://schemas.microsoft.com/DataMashup"/>
  </ds:schemaRefs>
</ds:datastoreItem>
</file>

<file path=customXml/itemProps10.xml><?xml version="1.0" encoding="utf-8"?>
<ds:datastoreItem xmlns:ds="http://schemas.openxmlformats.org/officeDocument/2006/customXml" ds:itemID="{147A6652-7D2E-41DA-8B0C-AD3BBF350E32}">
  <ds:schemaRefs/>
</ds:datastoreItem>
</file>

<file path=customXml/itemProps11.xml><?xml version="1.0" encoding="utf-8"?>
<ds:datastoreItem xmlns:ds="http://schemas.openxmlformats.org/officeDocument/2006/customXml" ds:itemID="{8D4D1164-E14D-4241-AB93-938B4E1B7C81}">
  <ds:schemaRefs/>
</ds:datastoreItem>
</file>

<file path=customXml/itemProps12.xml><?xml version="1.0" encoding="utf-8"?>
<ds:datastoreItem xmlns:ds="http://schemas.openxmlformats.org/officeDocument/2006/customXml" ds:itemID="{4F918518-EABC-4179-8023-F476BD1C1697}">
  <ds:schemaRefs/>
</ds:datastoreItem>
</file>

<file path=customXml/itemProps13.xml><?xml version="1.0" encoding="utf-8"?>
<ds:datastoreItem xmlns:ds="http://schemas.openxmlformats.org/officeDocument/2006/customXml" ds:itemID="{B1FA63C4-C1BC-4065-921A-827D3B7ACD04}">
  <ds:schemaRefs/>
</ds:datastoreItem>
</file>

<file path=customXml/itemProps14.xml><?xml version="1.0" encoding="utf-8"?>
<ds:datastoreItem xmlns:ds="http://schemas.openxmlformats.org/officeDocument/2006/customXml" ds:itemID="{F38C9DBF-72AF-4DE5-8175-78E8090A97C6}">
  <ds:schemaRefs/>
</ds:datastoreItem>
</file>

<file path=customXml/itemProps15.xml><?xml version="1.0" encoding="utf-8"?>
<ds:datastoreItem xmlns:ds="http://schemas.openxmlformats.org/officeDocument/2006/customXml" ds:itemID="{458773D1-95B5-4690-B83B-4B50B9D5CB03}">
  <ds:schemaRefs/>
</ds:datastoreItem>
</file>

<file path=customXml/itemProps16.xml><?xml version="1.0" encoding="utf-8"?>
<ds:datastoreItem xmlns:ds="http://schemas.openxmlformats.org/officeDocument/2006/customXml" ds:itemID="{9AA0E7E7-DED8-4684-92FC-4850B3A7AFB7}">
  <ds:schemaRefs/>
</ds:datastoreItem>
</file>

<file path=customXml/itemProps17.xml><?xml version="1.0" encoding="utf-8"?>
<ds:datastoreItem xmlns:ds="http://schemas.openxmlformats.org/officeDocument/2006/customXml" ds:itemID="{F8343368-AC2F-489E-B449-2485B5E8F6DB}">
  <ds:schemaRefs/>
</ds:datastoreItem>
</file>

<file path=customXml/itemProps18.xml><?xml version="1.0" encoding="utf-8"?>
<ds:datastoreItem xmlns:ds="http://schemas.openxmlformats.org/officeDocument/2006/customXml" ds:itemID="{53DBCB77-3C64-407C-8F43-02619F16BAAC}">
  <ds:schemaRefs/>
</ds:datastoreItem>
</file>

<file path=customXml/itemProps19.xml><?xml version="1.0" encoding="utf-8"?>
<ds:datastoreItem xmlns:ds="http://schemas.openxmlformats.org/officeDocument/2006/customXml" ds:itemID="{5E50AB69-1BD3-4D10-9424-3C0737020F9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Sales_Transactions</vt:lpstr>
      <vt:lpstr>Analysis 1</vt:lpstr>
      <vt:lpstr>Analysis 2</vt:lpstr>
      <vt:lpstr>Analysis 3</vt:lpstr>
      <vt:lpstr>Analysis 4</vt:lpstr>
      <vt:lpstr>Analysis 5</vt:lpstr>
      <vt:lpstr>Target vs Actual</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Selva Ganesan</dc:creator>
  <cp:lastModifiedBy>Selva Ganesan</cp:lastModifiedBy>
  <dcterms:created xsi:type="dcterms:W3CDTF">2026-10-06T14:41:54Z</dcterms:created>
  <dcterms:modified xsi:type="dcterms:W3CDTF">2026-10-08T12:57:18Z</dcterms:modified>
</cp:coreProperties>
</file>